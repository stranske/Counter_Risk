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CPRS - CH" sheetId="1" state="visible" r:id="rId1"/>
    <sheet xmlns:r="http://schemas.openxmlformats.org/officeDocument/2006/relationships" name="CPRS - FCM" sheetId="2" state="visible" r:id="rId2"/>
  </sheets>
  <externalReferences>
    <externalReference xmlns:r="http://schemas.openxmlformats.org/officeDocument/2006/relationships" r:id="rId3"/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</externalReferences>
  <definedNames>
    <definedName name="__123Graph_A" hidden="1">[1]ip!#REF!</definedName>
    <definedName name="__123Graph_B" hidden="1">[1]ip!#REF!</definedName>
    <definedName name="__123Graph_C" hidden="1">[1]ip!#REF!</definedName>
    <definedName name="__123Graph_D" hidden="1">[1]ip!#REF!</definedName>
    <definedName name="__123Graph_X" hidden="1">[1]ip!#REF!</definedName>
    <definedName name="_BQ4.1" hidden="1">#REF!</definedName>
    <definedName name="_BQ4.2" hidden="1">#REF!</definedName>
    <definedName name="_BQ4.3" hidden="1">#REF!</definedName>
    <definedName name="_BQ4.4" hidden="1">#REF!</definedName>
    <definedName name="_Fill" hidden="1">#REF!</definedName>
    <definedName name="_Key1" hidden="1">[2]Holds!#REF!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[2]Holds!#REF!</definedName>
    <definedName name="aaaaaaa" hidden="1">[1]ip!#REF!</definedName>
    <definedName name="asofdate">[3]Macro!$B$1</definedName>
    <definedName name="BLPB1" hidden="1">#REF!</definedName>
    <definedName name="BLPB2" hidden="1">#REF!</definedName>
    <definedName name="BLPB262" hidden="1">#REF!</definedName>
    <definedName name="BLPB263" hidden="1">#REF!</definedName>
    <definedName name="BLPB264" hidden="1">#REF!</definedName>
    <definedName name="BLPB265" hidden="1">#REF!</definedName>
    <definedName name="BLPB266" hidden="1">#REF!</definedName>
    <definedName name="BLPB267" hidden="1">#REF!</definedName>
    <definedName name="BLPB268" hidden="1">#REF!</definedName>
    <definedName name="BLPB269" hidden="1">#REF!</definedName>
    <definedName name="BLPB270" hidden="1">#REF!</definedName>
    <definedName name="BLPB271" hidden="1">#REF!</definedName>
    <definedName name="BLPB272" hidden="1">#REF!</definedName>
    <definedName name="BLPB273" hidden="1">#REF!</definedName>
    <definedName name="BLPB274" hidden="1">#REF!</definedName>
    <definedName name="BLPB275" hidden="1">#REF!</definedName>
    <definedName name="BLPB276" hidden="1">#REF!</definedName>
    <definedName name="BLPB277" hidden="1">#REF!</definedName>
    <definedName name="BLPB278" hidden="1">#REF!</definedName>
    <definedName name="BLPB279" hidden="1">#REF!</definedName>
    <definedName name="BLPB280" hidden="1">#REF!</definedName>
    <definedName name="BLPB281" hidden="1">#REF!</definedName>
    <definedName name="BLPB282" hidden="1">#REF!</definedName>
    <definedName name="BLPB283" hidden="1">#REF!</definedName>
    <definedName name="BLPB284" hidden="1">#REF!</definedName>
    <definedName name="BLPB285" hidden="1">#REF!</definedName>
    <definedName name="BLPB286" hidden="1">#REF!</definedName>
    <definedName name="BLPB287" hidden="1">#REF!</definedName>
    <definedName name="BLPB288" hidden="1">#REF!</definedName>
    <definedName name="BLPB289" hidden="1">#REF!</definedName>
    <definedName name="BLPH1" hidden="1">#REF!</definedName>
    <definedName name="BLPH2" hidden="1">#REF!</definedName>
    <definedName name="BLPH3" hidden="1">#REF!</definedName>
    <definedName name="Dur_ZE">#REF!</definedName>
    <definedName name="fdf" hidden="1">[1]ip!#REF!</definedName>
    <definedName name="IQ_ADDIN" hidden="1">"AUTO"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AMES_REVISION_DATE_" hidden="1">40470.4182986111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IRR">#REF!</definedName>
    <definedName name="LiabCalc_Date">#REF!</definedName>
    <definedName name="paul" hidden="1">{#N/A,#N/A,TRUE,"1";#N/A,#N/A,TRUE,"2"}</definedName>
    <definedName name="Port_MarketValue">[4]Portfolio!$D$2:INDEX([4]Portfolio!$D:$D,IF(COUNTA([4]Portfolio!$A:$A)=1,2,COUNTA([4]Portfolio!$A:$A)))</definedName>
    <definedName name="PortCashandEquivalents_MV">[4]Analytics!$D$39</definedName>
    <definedName name="PortMarketValue">[4]Analytics!$C$13</definedName>
    <definedName name="ppg" hidden="1">{#N/A,#N/A,TRUE,"1";#N/A,#N/A,TRUE,"2"}</definedName>
    <definedName name="PV">#REF!</definedName>
    <definedName name="Returns_Date">[4]Returns!$A$2:INDEX([4]Returns!$A:$A,IF(COUNTA([4]Returns!$A:$A)=1,2,COUNTA([4]Returns!$A:$A)))</definedName>
    <definedName name="solver_drv" hidden="1">1</definedName>
    <definedName name="solver_est" hidden="1">1</definedName>
    <definedName name="solver_itr" hidden="1">100</definedName>
    <definedName name="solver_lin" hidden="1">1</definedName>
    <definedName name="solver_num" hidden="1">0</definedName>
    <definedName name="solver_nwt" hidden="1">1</definedName>
    <definedName name="solver_pre" hidden="1">0.000001</definedName>
    <definedName name="solver_scl" hidden="1">0</definedName>
    <definedName name="solver_sho" hidden="1">0</definedName>
    <definedName name="solver_tim" hidden="1">100</definedName>
    <definedName name="solver_tol" hidden="1">0.001</definedName>
    <definedName name="solver_typ" hidden="1">3</definedName>
    <definedName name="solver_val" hidden="1">1627554</definedName>
    <definedName name="TCH" hidden="1">#REF!</definedName>
    <definedName name="TP_Footer_Path" hidden="1">"S:\70346\04RET\WS\Assets\"</definedName>
    <definedName name="TP_Footer_User" hidden="1">"Marlin Hoeppner"</definedName>
    <definedName name="TP_Footer_Version" hidden="1">"v3.00"</definedName>
    <definedName name="Western" hidden="1">#REF!</definedName>
    <definedName name="wrn.test." hidden="1">{#N/A,#N/A,TRUE,"1";#N/A,#N/A,TRUE,"2"}</definedName>
    <definedName name="_Fill" localSheetId="0" hidden="1">#REF!</definedName>
    <definedName name="_Key1" localSheetId="0" hidden="1">[2]Holds!#REF!</definedName>
    <definedName name="_Sort" localSheetId="0" hidden="1">[2]Holds!#REF!</definedName>
    <definedName name="_Fill" localSheetId="1" hidden="1">#REF!</definedName>
    <definedName name="_Key1" localSheetId="1" hidden="1">[2]Holds!#REF!</definedName>
    <definedName name="_Sort" localSheetId="1" hidden="1">[2]Holds!#REF!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  <numFmt numFmtId="166" formatCode="0.0%"/>
    <numFmt numFmtId="167" formatCode="_(* #,##0_);_(* \(#,##0\);_(* &quot;-&quot;??_);_(@_)"/>
    <numFmt numFmtId="168" formatCode="[$-409]mmmm\ d\,\ yyyy;@"/>
  </numFmts>
  <fonts count="1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Calibri"/>
      <family val="2"/>
      <color theme="1"/>
      <sz val="11"/>
      <scheme val="minor"/>
    </font>
    <font>
      <name val="Arial"/>
      <family val="2"/>
      <color theme="1"/>
      <sz val="11"/>
    </font>
    <font>
      <name val="arial"/>
      <family val="2"/>
      <color theme="1"/>
      <sz val="8"/>
    </font>
    <font>
      <name val="Calibri"/>
      <family val="2"/>
      <color theme="1"/>
      <sz val="10"/>
      <scheme val="minor"/>
    </font>
    <font>
      <name val="Arial"/>
      <family val="2"/>
      <color theme="1"/>
      <sz val="9"/>
    </font>
    <font>
      <name val="Arial"/>
      <family val="2"/>
      <color theme="1"/>
      <sz val="10"/>
    </font>
    <font>
      <name val="Arial"/>
      <family val="2"/>
      <b val="1"/>
      <color rgb="FF000000"/>
      <sz val="10"/>
      <u val="single"/>
    </font>
    <font>
      <name val="Wingdings 2"/>
      <charset val="2"/>
      <family val="1"/>
      <color theme="1"/>
      <sz val="11"/>
    </font>
    <font>
      <name val="Arial"/>
      <family val="2"/>
      <sz val="10"/>
    </font>
    <font>
      <name val="Arial"/>
      <family val="2"/>
      <b val="1"/>
      <color theme="1"/>
      <sz val="10"/>
    </font>
    <font>
      <name val="Arial"/>
      <family val="2"/>
      <b val="1"/>
      <color theme="1"/>
      <sz val="10"/>
      <u val="single"/>
    </font>
    <font>
      <name val="Arial"/>
      <family val="2"/>
      <color theme="1"/>
      <sz val="10"/>
      <u val="single"/>
    </font>
    <font>
      <name val="Arial"/>
      <family val="2"/>
      <sz val="10"/>
      <u val="single"/>
    </font>
    <font>
      <name val="Arial"/>
      <family val="2"/>
      <color rgb="FF000000"/>
      <sz val="10"/>
    </font>
    <font>
      <name val="Arial"/>
      <family val="2"/>
      <b val="1"/>
      <color rgb="FFFF0000"/>
      <sz val="10"/>
    </font>
    <font>
      <name val="Arial"/>
      <family val="2"/>
      <color rgb="FFFF0000"/>
      <sz val="10"/>
    </font>
    <font>
      <name val="Arial"/>
      <family val="2"/>
      <color theme="1"/>
      <sz val="16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F3FF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7">
    <xf numFmtId="0" fontId="2" fillId="0" borderId="0"/>
    <xf numFmtId="43" fontId="2" fillId="0" borderId="0"/>
    <xf numFmtId="44" fontId="2" fillId="0" borderId="0"/>
    <xf numFmtId="9" fontId="2" fillId="0" borderId="0"/>
    <xf numFmtId="0" fontId="2" fillId="0" borderId="0"/>
    <xf numFmtId="0" fontId="10" fillId="0" borderId="0"/>
    <xf numFmtId="44" fontId="10" fillId="0" borderId="0"/>
  </cellStyleXfs>
  <cellXfs count="147">
    <xf numFmtId="0" fontId="0" fillId="0" borderId="0" pivotButton="0" quotePrefix="0" xfId="0"/>
    <xf numFmtId="0" fontId="0" fillId="2" borderId="0" pivotButton="0" quotePrefix="0" xfId="0"/>
    <xf numFmtId="0" fontId="8" fillId="0" borderId="0" applyAlignment="1" pivotButton="0" quotePrefix="0" xfId="0">
      <alignment horizontal="left" vertical="center" indent="2"/>
    </xf>
    <xf numFmtId="0" fontId="5" fillId="2" borderId="0" pivotButton="0" quotePrefix="0" xfId="0"/>
    <xf numFmtId="0" fontId="7" fillId="2" borderId="0" pivotButton="0" quotePrefix="0" xfId="0"/>
    <xf numFmtId="0" fontId="9" fillId="2" borderId="0" applyAlignment="1" pivotButton="0" quotePrefix="0" xfId="0">
      <alignment horizontal="center"/>
    </xf>
    <xf numFmtId="0" fontId="11" fillId="0" borderId="0" pivotButton="0" quotePrefix="0" xfId="5"/>
    <xf numFmtId="0" fontId="7" fillId="0" borderId="0" pivotButton="0" quotePrefix="0" xfId="5"/>
    <xf numFmtId="0" fontId="10" fillId="0" borderId="0" pivotButton="0" quotePrefix="0" xfId="5"/>
    <xf numFmtId="0" fontId="10" fillId="0" borderId="0" applyAlignment="1" pivotButton="0" quotePrefix="0" xfId="5">
      <alignment horizontal="center"/>
    </xf>
    <xf numFmtId="164" fontId="7" fillId="0" borderId="0" pivotButton="0" quotePrefix="0" xfId="5"/>
    <xf numFmtId="165" fontId="7" fillId="0" borderId="0" pivotButton="0" quotePrefix="0" xfId="5"/>
    <xf numFmtId="0" fontId="7" fillId="0" borderId="0" pivotButton="0" quotePrefix="0" xfId="0"/>
    <xf numFmtId="14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pivotButton="0" quotePrefix="0" xfId="0"/>
    <xf numFmtId="0" fontId="7" fillId="0" borderId="0" pivotButton="0" quotePrefix="1" xfId="5"/>
    <xf numFmtId="0" fontId="12" fillId="0" borderId="0" applyAlignment="1" pivotButton="0" quotePrefix="0" xfId="5">
      <alignment vertical="center" textRotation="90"/>
    </xf>
    <xf numFmtId="0" fontId="10" fillId="3" borderId="0" pivotButton="0" quotePrefix="0" xfId="5"/>
    <xf numFmtId="165" fontId="10" fillId="3" borderId="0" pivotButton="0" quotePrefix="0" xfId="6"/>
    <xf numFmtId="0" fontId="13" fillId="0" borderId="0" pivotButton="0" quotePrefix="0" xfId="5"/>
    <xf numFmtId="0" fontId="7" fillId="0" borderId="0" pivotButton="0" quotePrefix="0" xfId="5"/>
    <xf numFmtId="165" fontId="10" fillId="0" borderId="0" pivotButton="0" quotePrefix="0" xfId="6"/>
    <xf numFmtId="0" fontId="10" fillId="0" borderId="0" pivotButton="0" quotePrefix="0" xfId="5"/>
    <xf numFmtId="166" fontId="7" fillId="0" borderId="0" pivotButton="0" quotePrefix="0" xfId="5"/>
    <xf numFmtId="165" fontId="10" fillId="0" borderId="0" pivotButton="0" quotePrefix="1" xfId="6"/>
    <xf numFmtId="0" fontId="10" fillId="0" borderId="0" pivotButton="0" quotePrefix="0" xfId="5"/>
    <xf numFmtId="0" fontId="12" fillId="0" borderId="0" pivotButton="0" quotePrefix="0" xfId="5"/>
    <xf numFmtId="165" fontId="7" fillId="0" borderId="0" pivotButton="0" quotePrefix="0" xfId="5"/>
    <xf numFmtId="9" fontId="10" fillId="3" borderId="0" pivotButton="0" quotePrefix="0" xfId="3"/>
    <xf numFmtId="166" fontId="7" fillId="0" borderId="0" pivotButton="0" quotePrefix="0" xfId="5"/>
    <xf numFmtId="165" fontId="10" fillId="0" borderId="0" pivotButton="0" quotePrefix="0" xfId="5"/>
    <xf numFmtId="14" fontId="11" fillId="0" borderId="0" applyAlignment="1" pivotButton="0" quotePrefix="0" xfId="0">
      <alignment horizontal="center"/>
    </xf>
    <xf numFmtId="0" fontId="12" fillId="0" borderId="0" pivotButton="0" quotePrefix="0" xfId="5"/>
    <xf numFmtId="165" fontId="7" fillId="0" borderId="0" pivotButton="0" quotePrefix="0" xfId="6"/>
    <xf numFmtId="165" fontId="10" fillId="3" borderId="0" applyAlignment="1" pivotButton="0" quotePrefix="0" xfId="6">
      <alignment horizontal="right"/>
    </xf>
    <xf numFmtId="166" fontId="10" fillId="3" borderId="0" applyAlignment="1" pivotButton="0" quotePrefix="0" xfId="5">
      <alignment horizontal="center"/>
    </xf>
    <xf numFmtId="165" fontId="10" fillId="3" borderId="0" pivotButton="0" quotePrefix="0" xfId="5"/>
    <xf numFmtId="165" fontId="7" fillId="0" borderId="0" applyAlignment="1" pivotButton="0" quotePrefix="0" xfId="5">
      <alignment horizontal="right"/>
    </xf>
    <xf numFmtId="0" fontId="12" fillId="0" borderId="0" pivotButton="0" quotePrefix="0" xfId="5"/>
    <xf numFmtId="165" fontId="7" fillId="0" borderId="0" pivotButton="0" quotePrefix="1" xfId="5"/>
    <xf numFmtId="0" fontId="10" fillId="4" borderId="0" pivotButton="0" quotePrefix="0" xfId="5"/>
    <xf numFmtId="165" fontId="10" fillId="4" borderId="0" pivotButton="0" quotePrefix="0" xfId="6"/>
    <xf numFmtId="165" fontId="10" fillId="4" borderId="0" applyAlignment="1" pivotButton="0" quotePrefix="0" xfId="6">
      <alignment horizontal="right"/>
    </xf>
    <xf numFmtId="0" fontId="11" fillId="3" borderId="0" pivotButton="0" quotePrefix="0" xfId="5"/>
    <xf numFmtId="0" fontId="7" fillId="3" borderId="0" pivotButton="0" quotePrefix="0" xfId="5"/>
    <xf numFmtId="14" fontId="11" fillId="4" borderId="0" applyAlignment="1" pivotButton="0" quotePrefix="0" xfId="0">
      <alignment horizontal="center"/>
    </xf>
    <xf numFmtId="165" fontId="14" fillId="0" borderId="0" pivotButton="0" quotePrefix="0" xfId="5"/>
    <xf numFmtId="0" fontId="14" fillId="0" borderId="0" pivotButton="0" quotePrefix="0" xfId="5"/>
    <xf numFmtId="0" fontId="8" fillId="3" borderId="0" applyAlignment="1" pivotButton="0" quotePrefix="0" xfId="0">
      <alignment vertical="center"/>
    </xf>
    <xf numFmtId="0" fontId="13" fillId="3" borderId="0" pivotButton="0" quotePrefix="0" xfId="5"/>
    <xf numFmtId="0" fontId="14" fillId="3" borderId="0" pivotButton="0" quotePrefix="0" xfId="5"/>
    <xf numFmtId="43" fontId="8" fillId="3" borderId="0" applyAlignment="1" pivotButton="0" quotePrefix="0" xfId="1">
      <alignment vertical="center"/>
    </xf>
    <xf numFmtId="0" fontId="12" fillId="4" borderId="0" applyAlignment="1" pivotButton="0" quotePrefix="0" xfId="0">
      <alignment horizontal="center"/>
    </xf>
    <xf numFmtId="0" fontId="10" fillId="0" borderId="0" pivotButton="0" quotePrefix="0" xfId="5"/>
    <xf numFmtId="43" fontId="7" fillId="0" borderId="0" pivotButton="0" quotePrefix="0" xfId="1"/>
    <xf numFmtId="167" fontId="10" fillId="0" borderId="0" pivotButton="0" quotePrefix="0" xfId="1"/>
    <xf numFmtId="0" fontId="12" fillId="0" borderId="0" applyAlignment="1" pivotButton="0" quotePrefix="0" xfId="5">
      <alignment textRotation="90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/>
    </xf>
    <xf numFmtId="165" fontId="10" fillId="0" borderId="0" pivotButton="0" quotePrefix="0" xfId="5"/>
    <xf numFmtId="164" fontId="10" fillId="0" borderId="0" pivotButton="0" quotePrefix="0" xfId="2"/>
    <xf numFmtId="0" fontId="16" fillId="0" borderId="0" pivotButton="0" quotePrefix="0" xfId="5"/>
    <xf numFmtId="0" fontId="11" fillId="2" borderId="0" pivotButton="0" quotePrefix="0" xfId="0"/>
    <xf numFmtId="165" fontId="10" fillId="0" borderId="0" pivotButton="0" quotePrefix="0" xfId="5"/>
    <xf numFmtId="0" fontId="12" fillId="0" borderId="0" applyAlignment="1" pivotButton="0" quotePrefix="0" xfId="5">
      <alignment horizontal="right"/>
    </xf>
    <xf numFmtId="0" fontId="1" fillId="2" borderId="0" pivotButton="0" quotePrefix="0" xfId="0"/>
    <xf numFmtId="0" fontId="17" fillId="0" borderId="0" pivotButton="0" quotePrefix="0" xfId="5"/>
    <xf numFmtId="164" fontId="10" fillId="0" borderId="0" pivotButton="0" quotePrefix="0" xfId="5"/>
    <xf numFmtId="0" fontId="1" fillId="0" borderId="0" pivotButton="0" quotePrefix="0" xfId="0"/>
    <xf numFmtId="0" fontId="10" fillId="4" borderId="0" applyAlignment="1" pivotButton="0" quotePrefix="0" xfId="0">
      <alignment vertical="center"/>
    </xf>
    <xf numFmtId="0" fontId="10" fillId="4" borderId="0" pivotButton="0" quotePrefix="0" xfId="5"/>
    <xf numFmtId="165" fontId="10" fillId="4" borderId="0" applyAlignment="1" pivotButton="0" quotePrefix="0" xfId="0">
      <alignment vertical="center"/>
    </xf>
    <xf numFmtId="165" fontId="10" fillId="4" borderId="0" applyAlignment="1" pivotButton="0" quotePrefix="0" xfId="2">
      <alignment vertical="center"/>
    </xf>
    <xf numFmtId="43" fontId="10" fillId="0" borderId="0" pivotButton="0" quotePrefix="0" xfId="1"/>
    <xf numFmtId="0" fontId="10" fillId="4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165" fontId="10" fillId="0" borderId="0" applyAlignment="1" pivotButton="0" quotePrefix="0" xfId="0">
      <alignment vertical="center"/>
    </xf>
    <xf numFmtId="165" fontId="10" fillId="0" borderId="0" applyAlignment="1" pivotButton="0" quotePrefix="0" xfId="2">
      <alignment vertical="center"/>
    </xf>
    <xf numFmtId="0" fontId="15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165" fontId="15" fillId="0" borderId="0" applyAlignment="1" pivotButton="0" quotePrefix="0" xfId="0">
      <alignment vertical="center"/>
    </xf>
    <xf numFmtId="165" fontId="7" fillId="0" borderId="0" applyAlignment="1" pivotButton="0" quotePrefix="0" xfId="2">
      <alignment vertical="center"/>
    </xf>
    <xf numFmtId="166" fontId="10" fillId="0" borderId="0" applyAlignment="1" pivotButton="0" quotePrefix="0" xfId="5">
      <alignment horizontal="center"/>
    </xf>
    <xf numFmtId="166" fontId="10" fillId="0" borderId="0" applyAlignment="1" pivotButton="0" quotePrefix="0" xfId="3">
      <alignment horizontal="center"/>
    </xf>
    <xf numFmtId="166" fontId="10" fillId="0" borderId="0" applyAlignment="1" pivotButton="0" quotePrefix="0" xfId="3">
      <alignment horizontal="center"/>
    </xf>
    <xf numFmtId="166" fontId="10" fillId="3" borderId="0" applyAlignment="1" pivotButton="0" quotePrefix="0" xfId="3">
      <alignment horizontal="center"/>
    </xf>
    <xf numFmtId="166" fontId="10" fillId="4" borderId="0" applyAlignment="1" pivotButton="0" quotePrefix="0" xfId="5">
      <alignment horizontal="center"/>
    </xf>
    <xf numFmtId="165" fontId="10" fillId="4" borderId="0" pivotButton="0" quotePrefix="0" xfId="5"/>
    <xf numFmtId="0" fontId="2" fillId="0" borderId="0" pivotButton="0" quotePrefix="0" xfId="4"/>
    <xf numFmtId="0" fontId="3" fillId="0" borderId="0" pivotButton="0" quotePrefix="0" xfId="4"/>
    <xf numFmtId="0" fontId="6" fillId="0" borderId="0" applyAlignment="1" pivotButton="0" quotePrefix="0" xfId="4">
      <alignment horizontal="right"/>
    </xf>
    <xf numFmtId="0" fontId="5" fillId="0" borderId="0" pivotButton="0" quotePrefix="0" xfId="4"/>
    <xf numFmtId="0" fontId="1" fillId="0" borderId="0" pivotButton="0" quotePrefix="0" xfId="4"/>
    <xf numFmtId="0" fontId="4" fillId="0" borderId="0" pivotButton="0" quotePrefix="0" xfId="4"/>
    <xf numFmtId="0" fontId="12" fillId="0" borderId="0" applyAlignment="1" pivotButton="0" quotePrefix="0" xfId="0">
      <alignment horizontal="center"/>
    </xf>
    <xf numFmtId="0" fontId="1" fillId="0" borderId="0" pivotButton="0" quotePrefix="1" xfId="5"/>
    <xf numFmtId="0" fontId="1" fillId="0" borderId="0" pivotButton="0" quotePrefix="0" xfId="5"/>
    <xf numFmtId="166" fontId="1" fillId="0" borderId="0" applyAlignment="1" pivotButton="0" quotePrefix="0" xfId="5">
      <alignment horizontal="center"/>
    </xf>
    <xf numFmtId="165" fontId="1" fillId="0" borderId="0" pivotButton="0" quotePrefix="0" xfId="5"/>
    <xf numFmtId="0" fontId="12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 vertical="center" textRotation="90"/>
    </xf>
    <xf numFmtId="168" fontId="18" fillId="0" borderId="0" applyAlignment="1" pivotButton="0" quotePrefix="0" xfId="4">
      <alignment horizontal="left"/>
    </xf>
    <xf numFmtId="0" fontId="4" fillId="0" borderId="0" applyAlignment="1" pivotButton="0" quotePrefix="0" xfId="4">
      <alignment horizontal="left" vertical="top" wrapText="1"/>
    </xf>
    <xf numFmtId="0" fontId="12" fillId="0" borderId="0" applyAlignment="1" pivotButton="0" quotePrefix="0" xfId="5">
      <alignment horizontal="center" vertical="center" textRotation="90"/>
    </xf>
    <xf numFmtId="0" fontId="11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5">
      <alignment horizontal="left"/>
    </xf>
    <xf numFmtId="0" fontId="11" fillId="0" borderId="0" applyAlignment="1" pivotButton="0" quotePrefix="0" xfId="5">
      <alignment horizontal="center"/>
    </xf>
    <xf numFmtId="0" fontId="12" fillId="0" borderId="0" applyAlignment="1" pivotButton="0" quotePrefix="0" xfId="5">
      <alignment horizontal="center" vertical="center" wrapText="1"/>
    </xf>
    <xf numFmtId="0" fontId="12" fillId="0" borderId="0" applyAlignment="1" pivotButton="0" quotePrefix="0" xfId="5">
      <alignment horizontal="center"/>
    </xf>
    <xf numFmtId="164" fontId="7" fillId="0" borderId="0" pivotButton="0" quotePrefix="0" xfId="5"/>
    <xf numFmtId="165" fontId="7" fillId="0" borderId="0" pivotButton="0" quotePrefix="0" xfId="5"/>
    <xf numFmtId="165" fontId="10" fillId="3" borderId="0" pivotButton="0" quotePrefix="0" xfId="6"/>
    <xf numFmtId="166" fontId="10" fillId="3" borderId="0" applyAlignment="1" pivotButton="0" quotePrefix="0" xfId="3">
      <alignment horizontal="center"/>
    </xf>
    <xf numFmtId="166" fontId="10" fillId="0" borderId="0" applyAlignment="1" pivotButton="0" quotePrefix="0" xfId="5">
      <alignment horizontal="center"/>
    </xf>
    <xf numFmtId="164" fontId="10" fillId="0" borderId="0" pivotButton="0" quotePrefix="0" xfId="5"/>
    <xf numFmtId="166" fontId="7" fillId="0" borderId="0" pivotButton="0" quotePrefix="0" xfId="5"/>
    <xf numFmtId="166" fontId="10" fillId="0" borderId="0" applyAlignment="1" pivotButton="0" quotePrefix="0" xfId="3">
      <alignment horizontal="center"/>
    </xf>
    <xf numFmtId="165" fontId="10" fillId="0" borderId="0" pivotButton="0" quotePrefix="1" xfId="6"/>
    <xf numFmtId="165" fontId="10" fillId="0" borderId="0" pivotButton="0" quotePrefix="0" xfId="6"/>
    <xf numFmtId="164" fontId="10" fillId="0" borderId="0" pivotButton="0" quotePrefix="0" xfId="2"/>
    <xf numFmtId="166" fontId="1" fillId="0" borderId="0" applyAlignment="1" pivotButton="0" quotePrefix="0" xfId="5">
      <alignment horizontal="center"/>
    </xf>
    <xf numFmtId="165" fontId="1" fillId="0" borderId="0" pivotButton="0" quotePrefix="0" xfId="5"/>
    <xf numFmtId="165" fontId="7" fillId="0" borderId="0" pivotButton="0" quotePrefix="0" xfId="6"/>
    <xf numFmtId="165" fontId="10" fillId="0" borderId="0" pivotButton="0" quotePrefix="0" xfId="5"/>
    <xf numFmtId="165" fontId="10" fillId="3" borderId="0" applyAlignment="1" pivotButton="0" quotePrefix="0" xfId="6">
      <alignment horizontal="right"/>
    </xf>
    <xf numFmtId="166" fontId="10" fillId="3" borderId="0" applyAlignment="1" pivotButton="0" quotePrefix="0" xfId="5">
      <alignment horizontal="center"/>
    </xf>
    <xf numFmtId="165" fontId="10" fillId="3" borderId="0" pivotButton="0" quotePrefix="0" xfId="5"/>
    <xf numFmtId="165" fontId="7" fillId="0" borderId="0" applyAlignment="1" pivotButton="0" quotePrefix="0" xfId="5">
      <alignment horizontal="right"/>
    </xf>
    <xf numFmtId="165" fontId="7" fillId="0" borderId="0" pivotButton="0" quotePrefix="1" xfId="5"/>
    <xf numFmtId="165" fontId="10" fillId="4" borderId="0" pivotButton="0" quotePrefix="0" xfId="6"/>
    <xf numFmtId="165" fontId="10" fillId="4" borderId="0" applyAlignment="1" pivotButton="0" quotePrefix="0" xfId="6">
      <alignment horizontal="right"/>
    </xf>
    <xf numFmtId="166" fontId="10" fillId="4" borderId="0" applyAlignment="1" pivotButton="0" quotePrefix="0" xfId="5">
      <alignment horizontal="center"/>
    </xf>
    <xf numFmtId="165" fontId="10" fillId="4" borderId="0" pivotButton="0" quotePrefix="0" xfId="5"/>
    <xf numFmtId="165" fontId="14" fillId="0" borderId="0" pivotButton="0" quotePrefix="0" xfId="5"/>
    <xf numFmtId="165" fontId="10" fillId="4" borderId="0" applyAlignment="1" pivotButton="0" quotePrefix="0" xfId="0">
      <alignment vertical="center"/>
    </xf>
    <xf numFmtId="165" fontId="10" fillId="4" borderId="0" applyAlignment="1" pivotButton="0" quotePrefix="0" xfId="2">
      <alignment vertical="center"/>
    </xf>
    <xf numFmtId="167" fontId="10" fillId="0" borderId="0" pivotButton="0" quotePrefix="0" xfId="1"/>
    <xf numFmtId="165" fontId="10" fillId="0" borderId="0" applyAlignment="1" pivotButton="0" quotePrefix="0" xfId="0">
      <alignment vertical="center"/>
    </xf>
    <xf numFmtId="165" fontId="10" fillId="0" borderId="0" applyAlignment="1" pivotButton="0" quotePrefix="0" xfId="2">
      <alignment vertical="center"/>
    </xf>
    <xf numFmtId="165" fontId="15" fillId="0" borderId="0" applyAlignment="1" pivotButton="0" quotePrefix="0" xfId="0">
      <alignment vertical="center"/>
    </xf>
    <xf numFmtId="165" fontId="7" fillId="0" borderId="0" applyAlignment="1" pivotButton="0" quotePrefix="0" xfId="2">
      <alignment vertical="center"/>
    </xf>
  </cellXfs>
  <cellStyles count="7">
    <cellStyle name="Normal" xfId="0" builtinId="0"/>
    <cellStyle name="Comma" xfId="1" builtinId="3"/>
    <cellStyle name="Currency" xfId="2" builtinId="4"/>
    <cellStyle name="Percent" xfId="3" builtinId="5"/>
    <cellStyle name="Normal 10 2 4" xfId="4"/>
    <cellStyle name="Normal 10 2 3 2" xfId="5"/>
    <cellStyle name="Currency 10 11" xf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externalLink" Target="/xl/externalLinks/externalLink2.xml" Id="rId4"/><Relationship Type="http://schemas.openxmlformats.org/officeDocument/2006/relationships/externalLink" Target="/xl/externalLinks/externalLink3.xml" Id="rId5"/><Relationship Type="http://schemas.openxmlformats.org/officeDocument/2006/relationships/externalLink" Target="/xl/externalLinks/externalLink4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\\Wdcret01\Projects\37961\02\Reports\F87\VALRPT02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ChrisM\Portfolios\MCCA\MBS0309.xls" TargetMode="External" Id="rId1"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AC_MNG/Accounts/American%20Red%20Cross/Reporting/Daily%20Report/Retirement%20Workfile.xlsx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T:\CS\Tools\PAM\PAM%20WH%20v3.xlsb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um02c"/>
      <sheetName val="ip"/>
      <sheetName val="cover"/>
      <sheetName val="toc"/>
      <sheetName val="Tlb1 data"/>
      <sheetName val="Tbl 2 sc"/>
      <sheetName val="Tbl 3a PBODISC"/>
      <sheetName val="Tbl 3b PBO-VALDAT"/>
      <sheetName val="Tbl 4 chg_pbo"/>
      <sheetName val="Tbl 5a 00chgGEPP"/>
      <sheetName val="Tbl 5b 00chgEBP"/>
      <sheetName val="Tbl 5c 00chgSPP"/>
      <sheetName val="app A"/>
      <sheetName val="app A,spp"/>
      <sheetName val="app C"/>
      <sheetName val="GE01010-inp"/>
      <sheetName val="app D1"/>
      <sheetName val="GE01010S-inp"/>
      <sheetName val="Exh 1"/>
      <sheetName val="Data"/>
      <sheetName val="Asset classes"/>
      <sheetName val="Recon &amp; Attribution (Inputs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Output"/>
      <sheetName val="Holds"/>
      <sheetName val="CDR"/>
      <sheetName val="Index"/>
      <sheetName val="MtgIndex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Macro"/>
      <sheetName val="Swap Summary"/>
      <sheetName val="Completion - R"/>
      <sheetName val="Comp"/>
      <sheetName val="Tactical Futures Portfolio - R"/>
      <sheetName val="Liability - R"/>
      <sheetName val="CDX - R"/>
      <sheetName val="Short Term Equity- R"/>
      <sheetName val="Down Trend Swap - R"/>
      <sheetName val="Vol Hedge Swaption - R"/>
      <sheetName val="Dynamic Swaption - R"/>
      <sheetName val="Cash Accounts - R "/>
      <sheetName val="CDX DER"/>
      <sheetName val="OMS"/>
      <sheetName val="Sheet1"/>
      <sheetName val="DWH END"/>
      <sheetName val="DWH RET"/>
      <sheetName val="Residual Cash Accounts"/>
      <sheetName val="Sheet2"/>
    </sheetNames>
    <sheetDataSet>
      <sheetData sheetId="0">
        <row r="1">
          <cell r="B1">
            <v>44473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Analytics"/>
      <sheetName val="Output"/>
      <sheetName val="Graphs"/>
      <sheetName val="Performance"/>
      <sheetName val="Completion"/>
      <sheetName val="CompletionData"/>
      <sheetName val="Positioning"/>
      <sheetName val="Portfolio"/>
      <sheetName val="AggregatedTransactions"/>
      <sheetName val="Benchmark"/>
      <sheetName val="CashFlows"/>
      <sheetName val="Exposures"/>
      <sheetName val="Returns"/>
      <sheetName val="Account Statement"/>
      <sheetName val="Attribution"/>
      <sheetName val="CAD Analytics"/>
      <sheetName val="Country Exposure"/>
      <sheetName val="Credit Exposures"/>
      <sheetName val="Credit Exposures-CAD"/>
      <sheetName val="Detailed Credit"/>
      <sheetName val="Emerging Markets"/>
      <sheetName val="Matrices"/>
      <sheetName val="OverUnder"/>
      <sheetName val="Account Data"/>
      <sheetName val="Cover Page"/>
      <sheetName val="Dictionary"/>
      <sheetName val="Graph Data"/>
      <sheetName val="Mappings"/>
      <sheetName val="Ratings"/>
      <sheetName val="Report Data"/>
      <sheetName val="AEGON Holdings"/>
      <sheetName val="AEGON Stats"/>
      <sheetName val="CDB Analytics"/>
      <sheetName val="GPI Questionnaire"/>
      <sheetName val="InvestorForce"/>
      <sheetName val="Marquette Template"/>
      <sheetName val="Mercer Template III"/>
      <sheetName val="PMT - Holdings"/>
      <sheetName val="PMT - Transactions"/>
      <sheetName val="PMT - MV &amp; Returns"/>
      <sheetName val="Rocaton Holdings"/>
      <sheetName val="SendKeys"/>
      <sheetName val="Summit Template"/>
      <sheetName val="Talan Template"/>
      <sheetName val="Towers Q Template"/>
      <sheetName val="TWIS Template"/>
      <sheetName val="DERSummary"/>
      <sheetName val="Futures"/>
      <sheetName val="IRS"/>
      <sheetName val="TRS"/>
      <sheetName val="FX"/>
      <sheetName val="Options"/>
      <sheetName val="Repo"/>
      <sheetName val="Swaptions"/>
      <sheetName val="Treasuries"/>
      <sheetName val="Transactions"/>
      <sheetName val="SwapCollateral"/>
      <sheetName val="DERHoldings"/>
      <sheetName val="DERTransactions"/>
      <sheetName val="COLHoldings"/>
      <sheetName val="COLData"/>
    </sheetNames>
    <sheetDataSet>
      <sheetData sheetId="0">
        <row r="13">
          <cell r="C13">
            <v>0</v>
          </cell>
        </row>
        <row r="39">
          <cell r="D3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Portfolio</v>
          </cell>
          <cell r="D1" t="str">
            <v>MarketValue</v>
          </cell>
        </row>
        <row r="2">
          <cell r="A2" t="str">
            <v>BBUCNBND</v>
          </cell>
          <cell r="D2">
            <v>590628.86</v>
          </cell>
        </row>
        <row r="3">
          <cell r="A3" t="str">
            <v>BBUCNBND</v>
          </cell>
        </row>
        <row r="4">
          <cell r="A4" t="str">
            <v>BBUCNBND</v>
          </cell>
        </row>
        <row r="5">
          <cell r="A5" t="str">
            <v>BBUCNBND</v>
          </cell>
        </row>
        <row r="6">
          <cell r="A6" t="str">
            <v>BBUCNBND</v>
          </cell>
        </row>
        <row r="7">
          <cell r="A7" t="str">
            <v>BBUCNBND</v>
          </cell>
        </row>
        <row r="8">
          <cell r="A8" t="str">
            <v>BBUCNBND</v>
          </cell>
        </row>
        <row r="9">
          <cell r="A9" t="str">
            <v>BBUCNBND</v>
          </cell>
        </row>
        <row r="10">
          <cell r="A10" t="str">
            <v>BBUCNBND</v>
          </cell>
        </row>
        <row r="11">
          <cell r="A11" t="str">
            <v>BBUCNBND</v>
          </cell>
        </row>
        <row r="12">
          <cell r="A12" t="str">
            <v>BBUCNBND</v>
          </cell>
        </row>
        <row r="13">
          <cell r="A13" t="str">
            <v>BBUCNBND</v>
          </cell>
        </row>
        <row r="14">
          <cell r="A14" t="str">
            <v>BBUCNBND</v>
          </cell>
        </row>
        <row r="15">
          <cell r="A15" t="str">
            <v>BBUCNBND</v>
          </cell>
        </row>
        <row r="16">
          <cell r="A16" t="str">
            <v>BBUCNBND</v>
          </cell>
        </row>
        <row r="17">
          <cell r="A17" t="str">
            <v>BBUCNBND</v>
          </cell>
        </row>
        <row r="18">
          <cell r="A18" t="str">
            <v>BBUCNBND</v>
          </cell>
        </row>
        <row r="19">
          <cell r="A19" t="str">
            <v>BBUCNBND</v>
          </cell>
        </row>
        <row r="20">
          <cell r="A20" t="str">
            <v>BBUCNBND</v>
          </cell>
        </row>
        <row r="21">
          <cell r="A21" t="str">
            <v>BBUCNBND</v>
          </cell>
        </row>
        <row r="22">
          <cell r="A22" t="str">
            <v>BBUCNBND</v>
          </cell>
        </row>
        <row r="23">
          <cell r="A23" t="str">
            <v>BBUCNBND</v>
          </cell>
        </row>
        <row r="24">
          <cell r="A24" t="str">
            <v>BBUCNBND</v>
          </cell>
        </row>
        <row r="25">
          <cell r="A25" t="str">
            <v>BBUCNBND</v>
          </cell>
        </row>
        <row r="26">
          <cell r="A26" t="str">
            <v>BBUCNBND</v>
          </cell>
        </row>
        <row r="27">
          <cell r="A27" t="str">
            <v>BBUCNBND</v>
          </cell>
        </row>
        <row r="28">
          <cell r="A28" t="str">
            <v>BBUCNBND</v>
          </cell>
        </row>
        <row r="29">
          <cell r="A29" t="str">
            <v>BBUCNBND</v>
          </cell>
        </row>
        <row r="30">
          <cell r="A30" t="str">
            <v>BBUCNBND</v>
          </cell>
        </row>
        <row r="31">
          <cell r="A31" t="str">
            <v>BBUCNBND</v>
          </cell>
        </row>
        <row r="32">
          <cell r="A32" t="str">
            <v>BBUCNBND</v>
          </cell>
        </row>
        <row r="33">
          <cell r="A33" t="str">
            <v>BBUCNBND</v>
          </cell>
        </row>
        <row r="34">
          <cell r="A34" t="str">
            <v>BBUCNBND</v>
          </cell>
        </row>
        <row r="35">
          <cell r="A35" t="str">
            <v>BBUCNBND</v>
          </cell>
        </row>
        <row r="36">
          <cell r="A36" t="str">
            <v>BBUCNBND</v>
          </cell>
        </row>
        <row r="37">
          <cell r="A37" t="str">
            <v>BBUCNBND</v>
          </cell>
        </row>
        <row r="38">
          <cell r="A38" t="str">
            <v>BBUCNBND</v>
          </cell>
        </row>
        <row r="39">
          <cell r="A39" t="str">
            <v>BBUCNBND</v>
          </cell>
        </row>
        <row r="40">
          <cell r="A40" t="str">
            <v>BBUCNBND</v>
          </cell>
        </row>
        <row r="41">
          <cell r="A41" t="str">
            <v>BBUCNBND</v>
          </cell>
        </row>
        <row r="42">
          <cell r="A42" t="str">
            <v>BBUCNBND</v>
          </cell>
        </row>
        <row r="43">
          <cell r="A43" t="str">
            <v>BBUCNBND</v>
          </cell>
        </row>
        <row r="44">
          <cell r="A44" t="str">
            <v>BBUCNBND</v>
          </cell>
        </row>
        <row r="45">
          <cell r="A45" t="str">
            <v>BBUCNBND</v>
          </cell>
        </row>
        <row r="46">
          <cell r="A46" t="str">
            <v>BBUCNBND</v>
          </cell>
        </row>
        <row r="47">
          <cell r="A47" t="str">
            <v>BBUCNBND</v>
          </cell>
        </row>
        <row r="48">
          <cell r="A48" t="str">
            <v>BBUCNBND</v>
          </cell>
        </row>
        <row r="49">
          <cell r="A49" t="str">
            <v>BBUCNBND</v>
          </cell>
        </row>
        <row r="50">
          <cell r="A50" t="str">
            <v>BBUCNBND</v>
          </cell>
        </row>
        <row r="51">
          <cell r="A51" t="str">
            <v>BBUCNBND</v>
          </cell>
        </row>
        <row r="52">
          <cell r="A52" t="str">
            <v>BBUCNBND</v>
          </cell>
        </row>
        <row r="53">
          <cell r="A53" t="str">
            <v>BBUCNBND</v>
          </cell>
        </row>
        <row r="54">
          <cell r="A54" t="str">
            <v>BBUCNBND</v>
          </cell>
        </row>
        <row r="55">
          <cell r="A55" t="str">
            <v>BBUCNBND</v>
          </cell>
        </row>
        <row r="56">
          <cell r="A56" t="str">
            <v>BBUCNBND</v>
          </cell>
        </row>
        <row r="57">
          <cell r="A57" t="str">
            <v>BBUCNBND</v>
          </cell>
        </row>
        <row r="58">
          <cell r="A58" t="str">
            <v>BBUCNBND</v>
          </cell>
        </row>
        <row r="59">
          <cell r="A59" t="str">
            <v>BBUCNBND</v>
          </cell>
        </row>
        <row r="60">
          <cell r="A60" t="str">
            <v>BBUCNBND</v>
          </cell>
        </row>
        <row r="61">
          <cell r="A61" t="str">
            <v>BBUCNBND</v>
          </cell>
        </row>
        <row r="62">
          <cell r="A62" t="str">
            <v>BBUCNBND</v>
          </cell>
        </row>
        <row r="63">
          <cell r="A63" t="str">
            <v>BBUCNBND</v>
          </cell>
        </row>
        <row r="64">
          <cell r="A64" t="str">
            <v>BBUCNBND</v>
          </cell>
        </row>
        <row r="65">
          <cell r="A65" t="str">
            <v>BBUCNBND</v>
          </cell>
        </row>
        <row r="66">
          <cell r="A66" t="str">
            <v>BBUCNBND</v>
          </cell>
        </row>
        <row r="67">
          <cell r="A67" t="str">
            <v>BBUCNBND</v>
          </cell>
        </row>
        <row r="68">
          <cell r="A68" t="str">
            <v>BBUCNBND</v>
          </cell>
        </row>
        <row r="69">
          <cell r="A69" t="str">
            <v>BBUCNBND</v>
          </cell>
        </row>
        <row r="70">
          <cell r="A70" t="str">
            <v>BBUCNBND</v>
          </cell>
        </row>
        <row r="71">
          <cell r="A71" t="str">
            <v>BBUCNBND</v>
          </cell>
        </row>
        <row r="72">
          <cell r="A72" t="str">
            <v>BBUCNBND</v>
          </cell>
        </row>
        <row r="73">
          <cell r="A73" t="str">
            <v>BBUCNBND</v>
          </cell>
        </row>
        <row r="74">
          <cell r="A74" t="str">
            <v>BBUCNBND</v>
          </cell>
        </row>
        <row r="75">
          <cell r="A75" t="str">
            <v>BBUCNBND</v>
          </cell>
        </row>
        <row r="76">
          <cell r="A76" t="str">
            <v>BBUCNBND</v>
          </cell>
        </row>
        <row r="77">
          <cell r="A77" t="str">
            <v>BBUCNBND</v>
          </cell>
        </row>
        <row r="78">
          <cell r="A78" t="str">
            <v>BBUCNBND</v>
          </cell>
        </row>
        <row r="79">
          <cell r="A79" t="str">
            <v>BBUCNBND</v>
          </cell>
        </row>
        <row r="80">
          <cell r="A80" t="str">
            <v>BBUCNBND</v>
          </cell>
        </row>
        <row r="81">
          <cell r="A81" t="str">
            <v>BBUCNBND</v>
          </cell>
        </row>
        <row r="82">
          <cell r="A82" t="str">
            <v>BBUCNBND</v>
          </cell>
        </row>
        <row r="83">
          <cell r="A83" t="str">
            <v>BBUCNBND</v>
          </cell>
        </row>
        <row r="84">
          <cell r="A84" t="str">
            <v>BBUCNBND</v>
          </cell>
        </row>
        <row r="85">
          <cell r="A85" t="str">
            <v>BBUCNBND</v>
          </cell>
        </row>
        <row r="86">
          <cell r="A86" t="str">
            <v>BBUCNBND</v>
          </cell>
        </row>
        <row r="87">
          <cell r="A87" t="str">
            <v>BBUCNBND</v>
          </cell>
        </row>
        <row r="88">
          <cell r="A88" t="str">
            <v>BBUCNBND</v>
          </cell>
        </row>
        <row r="89">
          <cell r="A89" t="str">
            <v>BBUCNBND</v>
          </cell>
        </row>
        <row r="90">
          <cell r="A90" t="str">
            <v>BBUCNBND</v>
          </cell>
        </row>
        <row r="91">
          <cell r="A91" t="str">
            <v>BBUCNBND</v>
          </cell>
        </row>
        <row r="92">
          <cell r="A92" t="str">
            <v>BBUCNBND</v>
          </cell>
        </row>
        <row r="93">
          <cell r="A93" t="str">
            <v>BBUCNBND</v>
          </cell>
        </row>
        <row r="94">
          <cell r="A94" t="str">
            <v>BBUCNBND</v>
          </cell>
        </row>
        <row r="95">
          <cell r="A95" t="str">
            <v>BBUCNBND</v>
          </cell>
        </row>
        <row r="96">
          <cell r="A96" t="str">
            <v>BBUCNBND</v>
          </cell>
        </row>
        <row r="97">
          <cell r="A97" t="str">
            <v>BBUCNBND</v>
          </cell>
        </row>
        <row r="98">
          <cell r="A98" t="str">
            <v>BBUCNBND</v>
          </cell>
        </row>
        <row r="99">
          <cell r="A99" t="str">
            <v>BBUCNBND</v>
          </cell>
        </row>
        <row r="100">
          <cell r="A100" t="str">
            <v>BBUCNBND</v>
          </cell>
        </row>
        <row r="101">
          <cell r="A101" t="str">
            <v>BBUCNBND</v>
          </cell>
        </row>
        <row r="102">
          <cell r="A102" t="str">
            <v>BBUCNBND</v>
          </cell>
        </row>
        <row r="103">
          <cell r="A103" t="str">
            <v>BBUCNBND</v>
          </cell>
        </row>
        <row r="104">
          <cell r="A104" t="str">
            <v>BBUCNBND</v>
          </cell>
        </row>
        <row r="105">
          <cell r="A105" t="str">
            <v>BBUCNBND</v>
          </cell>
        </row>
        <row r="106">
          <cell r="A106" t="str">
            <v>BBUCNBND</v>
          </cell>
        </row>
        <row r="107">
          <cell r="A107" t="str">
            <v>BBUCNBND</v>
          </cell>
        </row>
        <row r="108">
          <cell r="A108" t="str">
            <v>BBUCNBND</v>
          </cell>
        </row>
        <row r="109">
          <cell r="A109" t="str">
            <v>BBUCNBND</v>
          </cell>
        </row>
        <row r="110">
          <cell r="A110" t="str">
            <v>BBUCNBND</v>
          </cell>
        </row>
        <row r="111">
          <cell r="A111" t="str">
            <v>BBUCNBND</v>
          </cell>
        </row>
        <row r="112">
          <cell r="A112" t="str">
            <v>BBUCNBND</v>
          </cell>
        </row>
        <row r="113">
          <cell r="A113" t="str">
            <v>BBUCNBND</v>
          </cell>
        </row>
        <row r="114">
          <cell r="A114" t="str">
            <v>BBUCNBND</v>
          </cell>
        </row>
        <row r="115">
          <cell r="A115" t="str">
            <v>BBUCNBND</v>
          </cell>
        </row>
        <row r="116">
          <cell r="A116" t="str">
            <v>BBUCNBND</v>
          </cell>
        </row>
        <row r="117">
          <cell r="A117" t="str">
            <v>BBUCNBND</v>
          </cell>
        </row>
        <row r="118">
          <cell r="A118" t="str">
            <v>BBUCNBND</v>
          </cell>
        </row>
        <row r="119">
          <cell r="A119" t="str">
            <v>BBUCNBND</v>
          </cell>
        </row>
        <row r="120">
          <cell r="A120" t="str">
            <v>BBUCNBND</v>
          </cell>
        </row>
        <row r="121">
          <cell r="A121" t="str">
            <v>BBUCNBND</v>
          </cell>
        </row>
        <row r="122">
          <cell r="A122" t="str">
            <v>BBUCNBND</v>
          </cell>
        </row>
        <row r="123">
          <cell r="A123" t="str">
            <v>BBUCNBND</v>
          </cell>
        </row>
        <row r="124">
          <cell r="A124" t="str">
            <v>BBUCNBND</v>
          </cell>
        </row>
        <row r="125">
          <cell r="A125" t="str">
            <v>BBUCNBND</v>
          </cell>
        </row>
        <row r="126">
          <cell r="A126" t="str">
            <v>BBUCNBND</v>
          </cell>
        </row>
        <row r="127">
          <cell r="A127" t="str">
            <v>BBUCNBND</v>
          </cell>
        </row>
        <row r="128">
          <cell r="A128" t="str">
            <v>BBUCNBND</v>
          </cell>
        </row>
        <row r="129">
          <cell r="A129" t="str">
            <v>BBUCNBND</v>
          </cell>
        </row>
        <row r="130">
          <cell r="A130" t="str">
            <v>BBUCNBND</v>
          </cell>
        </row>
        <row r="131">
          <cell r="A131" t="str">
            <v>BBUCNBND</v>
          </cell>
        </row>
        <row r="132">
          <cell r="A132" t="str">
            <v>BBUCNBND</v>
          </cell>
        </row>
        <row r="133">
          <cell r="A133" t="str">
            <v>BBUCNBND</v>
          </cell>
        </row>
        <row r="134">
          <cell r="A134" t="str">
            <v>BBUCNBND</v>
          </cell>
        </row>
        <row r="135">
          <cell r="A135" t="str">
            <v>BBUCNBND</v>
          </cell>
        </row>
        <row r="136">
          <cell r="A136" t="str">
            <v>BBUCNBND</v>
          </cell>
        </row>
        <row r="137">
          <cell r="A137" t="str">
            <v>BBUCNBND</v>
          </cell>
        </row>
        <row r="138">
          <cell r="A138" t="str">
            <v>BBUCNBND</v>
          </cell>
        </row>
        <row r="139">
          <cell r="A139" t="str">
            <v>BBUCNBND</v>
          </cell>
        </row>
        <row r="140">
          <cell r="A140" t="str">
            <v>BBUCNBND</v>
          </cell>
        </row>
        <row r="141">
          <cell r="A141" t="str">
            <v>BBUCNBND</v>
          </cell>
        </row>
        <row r="142">
          <cell r="A142" t="str">
            <v>BBUCNBND</v>
          </cell>
        </row>
        <row r="143">
          <cell r="A143" t="str">
            <v>BBUCNBND</v>
          </cell>
        </row>
        <row r="144">
          <cell r="A144" t="str">
            <v>BBUCNBND</v>
          </cell>
        </row>
        <row r="145">
          <cell r="A145" t="str">
            <v>BBUCNBND</v>
          </cell>
        </row>
        <row r="146">
          <cell r="A146" t="str">
            <v>BBUCNBND</v>
          </cell>
        </row>
        <row r="147">
          <cell r="A147" t="str">
            <v>BBUCNBND</v>
          </cell>
        </row>
        <row r="148">
          <cell r="A148" t="str">
            <v>BBUCNBND</v>
          </cell>
        </row>
        <row r="149">
          <cell r="A149" t="str">
            <v>BBUCNBND</v>
          </cell>
        </row>
        <row r="150">
          <cell r="A150" t="str">
            <v>BBUCNBND</v>
          </cell>
        </row>
        <row r="151">
          <cell r="A151" t="str">
            <v>BBUCNBND</v>
          </cell>
        </row>
        <row r="152">
          <cell r="A152" t="str">
            <v>BBUCNBND</v>
          </cell>
        </row>
        <row r="153">
          <cell r="A153" t="str">
            <v>BBUCNBND</v>
          </cell>
        </row>
        <row r="154">
          <cell r="A154" t="str">
            <v>BBUCNBND</v>
          </cell>
        </row>
        <row r="155">
          <cell r="A155" t="str">
            <v>BBUCNBND</v>
          </cell>
        </row>
        <row r="156">
          <cell r="A156" t="str">
            <v>BBUCNBND</v>
          </cell>
        </row>
        <row r="157">
          <cell r="A157" t="str">
            <v>BBUCNBND</v>
          </cell>
        </row>
        <row r="158">
          <cell r="A158" t="str">
            <v>BBUCNBND</v>
          </cell>
        </row>
        <row r="159">
          <cell r="A159" t="str">
            <v>BBUCNBND</v>
          </cell>
        </row>
        <row r="160">
          <cell r="A160" t="str">
            <v>BBUCNBND</v>
          </cell>
        </row>
        <row r="161">
          <cell r="A161" t="str">
            <v>BBUCNBND</v>
          </cell>
        </row>
        <row r="162">
          <cell r="A162" t="str">
            <v>BBUCNBND</v>
          </cell>
        </row>
        <row r="163">
          <cell r="A163" t="str">
            <v>BBUCNBND</v>
          </cell>
        </row>
        <row r="164">
          <cell r="A164" t="str">
            <v>BBUCNBND</v>
          </cell>
        </row>
        <row r="165">
          <cell r="A165" t="str">
            <v>BBUCNBND</v>
          </cell>
        </row>
        <row r="166">
          <cell r="A166" t="str">
            <v>BBUCNBND</v>
          </cell>
        </row>
        <row r="167">
          <cell r="A167" t="str">
            <v>BBUCNBND</v>
          </cell>
        </row>
        <row r="168">
          <cell r="A168" t="str">
            <v>BBUCNBND</v>
          </cell>
        </row>
        <row r="169">
          <cell r="A169" t="str">
            <v>BBUCNBND</v>
          </cell>
        </row>
        <row r="170">
          <cell r="A170" t="str">
            <v>BBUCNBND</v>
          </cell>
        </row>
        <row r="171">
          <cell r="A171" t="str">
            <v>BBUCNBND</v>
          </cell>
        </row>
        <row r="172">
          <cell r="A172" t="str">
            <v>BBUCNBND</v>
          </cell>
        </row>
        <row r="173">
          <cell r="A173" t="str">
            <v>BBUCNBND</v>
          </cell>
        </row>
        <row r="174">
          <cell r="A174" t="str">
            <v>BBUCNBND</v>
          </cell>
        </row>
        <row r="175">
          <cell r="A175" t="str">
            <v>BBUCNBND</v>
          </cell>
        </row>
        <row r="176">
          <cell r="A176" t="str">
            <v>BBUCNBND</v>
          </cell>
        </row>
        <row r="177">
          <cell r="A177" t="str">
            <v>BBUCNBND</v>
          </cell>
        </row>
        <row r="178">
          <cell r="A178" t="str">
            <v>BBUCNBND</v>
          </cell>
        </row>
        <row r="179">
          <cell r="A179" t="str">
            <v>BBUCNBND</v>
          </cell>
        </row>
        <row r="180">
          <cell r="A180" t="str">
            <v>BBUCNBND</v>
          </cell>
        </row>
        <row r="181">
          <cell r="A181" t="str">
            <v>BBUCNBND</v>
          </cell>
        </row>
        <row r="182">
          <cell r="A182" t="str">
            <v>BBUCNBND</v>
          </cell>
        </row>
        <row r="183">
          <cell r="A183" t="str">
            <v>BBUCNBND</v>
          </cell>
        </row>
        <row r="184">
          <cell r="A184" t="str">
            <v>BBUCNBND</v>
          </cell>
        </row>
        <row r="185">
          <cell r="A185" t="str">
            <v>BBUCNBND</v>
          </cell>
        </row>
        <row r="186">
          <cell r="A186" t="str">
            <v>BBUCNBND</v>
          </cell>
        </row>
        <row r="187">
          <cell r="A187" t="str">
            <v>BBUCNBND</v>
          </cell>
        </row>
        <row r="188">
          <cell r="A188" t="str">
            <v>BBUCNBND</v>
          </cell>
        </row>
        <row r="189">
          <cell r="A189" t="str">
            <v>BBUCNBND</v>
          </cell>
        </row>
        <row r="190">
          <cell r="A190" t="str">
            <v>BBUCNBND</v>
          </cell>
        </row>
        <row r="191">
          <cell r="A191" t="str">
            <v>BBUCNBND</v>
          </cell>
        </row>
        <row r="192">
          <cell r="A192" t="str">
            <v>BBUCNBND</v>
          </cell>
        </row>
        <row r="193">
          <cell r="A193" t="str">
            <v>BBUCNBND</v>
          </cell>
        </row>
        <row r="194">
          <cell r="A194" t="str">
            <v>BBUCNBND</v>
          </cell>
        </row>
        <row r="195">
          <cell r="A195" t="str">
            <v>BBUCNBND</v>
          </cell>
        </row>
        <row r="196">
          <cell r="A196" t="str">
            <v>BBUCNBND</v>
          </cell>
        </row>
        <row r="197">
          <cell r="A197" t="str">
            <v>BBUCNBND</v>
          </cell>
        </row>
        <row r="198">
          <cell r="A198" t="str">
            <v>BBUCNBND</v>
          </cell>
        </row>
        <row r="199">
          <cell r="A199" t="str">
            <v>BBUCNBND</v>
          </cell>
        </row>
        <row r="200">
          <cell r="A200" t="str">
            <v>BBUCNBND</v>
          </cell>
        </row>
        <row r="201">
          <cell r="A201" t="str">
            <v>BBUCNBND</v>
          </cell>
        </row>
        <row r="202">
          <cell r="A202" t="str">
            <v>BBUCNBND</v>
          </cell>
        </row>
        <row r="203">
          <cell r="A203" t="str">
            <v>BBUCNBND</v>
          </cell>
        </row>
        <row r="204">
          <cell r="A204" t="str">
            <v>BBUCNBND</v>
          </cell>
        </row>
        <row r="205">
          <cell r="A205" t="str">
            <v>BBUCNBND</v>
          </cell>
        </row>
        <row r="206">
          <cell r="A206" t="str">
            <v>BBUCNBND</v>
          </cell>
        </row>
        <row r="207">
          <cell r="A207" t="str">
            <v>BBUCNBND</v>
          </cell>
        </row>
        <row r="208">
          <cell r="A208" t="str">
            <v>BBUCNBND</v>
          </cell>
        </row>
        <row r="209">
          <cell r="A209" t="str">
            <v>BBUCNBND</v>
          </cell>
        </row>
        <row r="210">
          <cell r="A210" t="str">
            <v>BBUCNBND</v>
          </cell>
        </row>
        <row r="211">
          <cell r="A211" t="str">
            <v>BBUCNBND</v>
          </cell>
        </row>
        <row r="212">
          <cell r="A212" t="str">
            <v>BBUCNBND</v>
          </cell>
        </row>
        <row r="213">
          <cell r="A213" t="str">
            <v>BBUCNBND</v>
          </cell>
        </row>
        <row r="214">
          <cell r="A214" t="str">
            <v>BBUCNBND</v>
          </cell>
        </row>
        <row r="215">
          <cell r="A215" t="str">
            <v>BBUCNBND</v>
          </cell>
        </row>
        <row r="216">
          <cell r="A216" t="str">
            <v>BBUCNBND</v>
          </cell>
        </row>
        <row r="217">
          <cell r="A217" t="str">
            <v>BBUCNBND</v>
          </cell>
        </row>
        <row r="218">
          <cell r="A218" t="str">
            <v>BBUCNBND</v>
          </cell>
        </row>
        <row r="219">
          <cell r="A219" t="str">
            <v>BBUCNBND</v>
          </cell>
        </row>
        <row r="220">
          <cell r="A220" t="str">
            <v>BBUCNBND</v>
          </cell>
        </row>
        <row r="221">
          <cell r="A221" t="str">
            <v>BBUCNBND</v>
          </cell>
        </row>
        <row r="222">
          <cell r="A222" t="str">
            <v>BBUCNBND</v>
          </cell>
        </row>
        <row r="223">
          <cell r="A223" t="str">
            <v>BBUCNBND</v>
          </cell>
        </row>
        <row r="224">
          <cell r="A224" t="str">
            <v>BBUCNBND</v>
          </cell>
        </row>
        <row r="225">
          <cell r="A225" t="str">
            <v>BBUCNBND</v>
          </cell>
        </row>
        <row r="226">
          <cell r="A226" t="str">
            <v>BBUCNBND</v>
          </cell>
        </row>
        <row r="227">
          <cell r="A227" t="str">
            <v>BBUCNBND</v>
          </cell>
        </row>
        <row r="228">
          <cell r="A228" t="str">
            <v>BBUCNBND</v>
          </cell>
        </row>
        <row r="229">
          <cell r="A229" t="str">
            <v>BBUCNBND</v>
          </cell>
        </row>
        <row r="230">
          <cell r="A230" t="str">
            <v>BBUCNBND</v>
          </cell>
        </row>
        <row r="231">
          <cell r="A231" t="str">
            <v>BBUCNBND</v>
          </cell>
        </row>
        <row r="232">
          <cell r="A232" t="str">
            <v>BBUCNBND</v>
          </cell>
        </row>
        <row r="233">
          <cell r="A233" t="str">
            <v>BBUCNBND</v>
          </cell>
        </row>
        <row r="234">
          <cell r="A234" t="str">
            <v>BBUCNBND</v>
          </cell>
        </row>
        <row r="235">
          <cell r="A235" t="str">
            <v>BBUCNBND</v>
          </cell>
        </row>
        <row r="236">
          <cell r="A236" t="str">
            <v>BBUCNBND</v>
          </cell>
        </row>
        <row r="237">
          <cell r="A237" t="str">
            <v>BBUCNBND</v>
          </cell>
        </row>
        <row r="238">
          <cell r="A238" t="str">
            <v>BBUCNBND</v>
          </cell>
        </row>
        <row r="239">
          <cell r="A239" t="str">
            <v>BBUCNBND</v>
          </cell>
        </row>
        <row r="240">
          <cell r="A240" t="str">
            <v>BBUCNBND</v>
          </cell>
        </row>
        <row r="241">
          <cell r="A241" t="str">
            <v>BBUCNBND</v>
          </cell>
        </row>
        <row r="242">
          <cell r="A242" t="str">
            <v>BBUCNBND</v>
          </cell>
        </row>
        <row r="243">
          <cell r="A243" t="str">
            <v>BBUCNBND</v>
          </cell>
        </row>
        <row r="244">
          <cell r="A244" t="str">
            <v>BBUCNBND</v>
          </cell>
        </row>
        <row r="245">
          <cell r="A245" t="str">
            <v>BBUCNBND</v>
          </cell>
        </row>
        <row r="246">
          <cell r="A246" t="str">
            <v>BBUCNBND</v>
          </cell>
        </row>
        <row r="247">
          <cell r="A247" t="str">
            <v>BBUCNBND</v>
          </cell>
        </row>
        <row r="248">
          <cell r="A248" t="str">
            <v>BBUCNBND</v>
          </cell>
        </row>
        <row r="249">
          <cell r="A249" t="str">
            <v>BBUCNBND</v>
          </cell>
        </row>
        <row r="250">
          <cell r="A250" t="str">
            <v>BBUCNBND</v>
          </cell>
        </row>
        <row r="251">
          <cell r="A251" t="str">
            <v>BBUCNBND</v>
          </cell>
        </row>
        <row r="252">
          <cell r="A252" t="str">
            <v>BBUCNBND</v>
          </cell>
        </row>
        <row r="253">
          <cell r="A253" t="str">
            <v>BBUCNBND</v>
          </cell>
        </row>
      </sheetData>
      <sheetData sheetId="8"/>
      <sheetData sheetId="9"/>
      <sheetData sheetId="10"/>
      <sheetData sheetId="11"/>
      <sheetData sheetId="12">
        <row r="1">
          <cell r="A1" t="str">
            <v>Date</v>
          </cell>
        </row>
        <row r="2">
          <cell r="A2">
            <v>43708</v>
          </cell>
        </row>
        <row r="3">
          <cell r="A3">
            <v>43738</v>
          </cell>
        </row>
        <row r="4">
          <cell r="A4">
            <v>43769</v>
          </cell>
        </row>
        <row r="5">
          <cell r="A5">
            <v>43799</v>
          </cell>
        </row>
        <row r="6">
          <cell r="A6">
            <v>43830</v>
          </cell>
        </row>
        <row r="7">
          <cell r="A7">
            <v>43861</v>
          </cell>
        </row>
        <row r="8">
          <cell r="A8">
            <v>43890</v>
          </cell>
        </row>
        <row r="9">
          <cell r="A9">
            <v>43921</v>
          </cell>
        </row>
        <row r="10">
          <cell r="A10">
            <v>43951</v>
          </cell>
        </row>
        <row r="11">
          <cell r="A11">
            <v>43982</v>
          </cell>
        </row>
        <row r="12">
          <cell r="A12">
            <v>44012</v>
          </cell>
        </row>
        <row r="13">
          <cell r="A13">
            <v>44043</v>
          </cell>
        </row>
        <row r="14">
          <cell r="A14">
            <v>44074</v>
          </cell>
        </row>
        <row r="15">
          <cell r="A15">
            <v>44104</v>
          </cell>
        </row>
        <row r="16">
          <cell r="A16">
            <v>44135</v>
          </cell>
        </row>
        <row r="17">
          <cell r="A17">
            <v>44165</v>
          </cell>
        </row>
        <row r="18">
          <cell r="A18">
            <v>44196</v>
          </cell>
        </row>
        <row r="19">
          <cell r="A19">
            <v>44227</v>
          </cell>
        </row>
        <row r="20">
          <cell r="A20">
            <v>44255</v>
          </cell>
        </row>
        <row r="21">
          <cell r="A21">
            <v>44286</v>
          </cell>
        </row>
        <row r="22">
          <cell r="A22">
            <v>44316</v>
          </cell>
        </row>
        <row r="23">
          <cell r="A23">
            <v>44347</v>
          </cell>
        </row>
        <row r="24">
          <cell r="A24">
            <v>44377</v>
          </cell>
        </row>
        <row r="25">
          <cell r="A25">
            <v>44408</v>
          </cell>
        </row>
        <row r="26">
          <cell r="A26">
            <v>44439</v>
          </cell>
        </row>
        <row r="27">
          <cell r="A27">
            <v>44469</v>
          </cell>
        </row>
        <row r="28">
          <cell r="A28">
            <v>44500</v>
          </cell>
        </row>
        <row r="29">
          <cell r="A29">
            <v>44530</v>
          </cell>
        </row>
        <row r="30">
          <cell r="A30">
            <v>44561</v>
          </cell>
        </row>
        <row r="31">
          <cell r="A31">
            <v>44592</v>
          </cell>
        </row>
        <row r="32">
          <cell r="A32">
            <v>44620</v>
          </cell>
        </row>
        <row r="33">
          <cell r="A33">
            <v>44651</v>
          </cell>
        </row>
        <row r="34">
          <cell r="A34">
            <v>44681</v>
          </cell>
        </row>
        <row r="35">
          <cell r="A35">
            <v>44712</v>
          </cell>
        </row>
        <row r="36">
          <cell r="A36">
            <v>44742</v>
          </cell>
        </row>
        <row r="37">
          <cell r="A37">
            <v>44773</v>
          </cell>
        </row>
        <row r="38">
          <cell r="A38">
            <v>44804</v>
          </cell>
        </row>
        <row r="39">
          <cell r="A39">
            <v>44834</v>
          </cell>
        </row>
        <row r="40">
          <cell r="A40">
            <v>44865</v>
          </cell>
        </row>
        <row r="41">
          <cell r="A41">
            <v>44895</v>
          </cell>
        </row>
        <row r="42">
          <cell r="A42">
            <v>44926</v>
          </cell>
        </row>
        <row r="43">
          <cell r="A43">
            <v>44957</v>
          </cell>
        </row>
        <row r="44">
          <cell r="A44">
            <v>44985</v>
          </cell>
        </row>
        <row r="45">
          <cell r="A45">
            <v>45016</v>
          </cell>
        </row>
        <row r="46">
          <cell r="A46">
            <v>45046</v>
          </cell>
        </row>
        <row r="47">
          <cell r="A47">
            <v>45077</v>
          </cell>
        </row>
        <row r="48">
          <cell r="A48">
            <v>45107</v>
          </cell>
        </row>
        <row r="49">
          <cell r="A49">
            <v>45138</v>
          </cell>
        </row>
        <row r="50">
          <cell r="A50">
            <v>45169</v>
          </cell>
        </row>
        <row r="51">
          <cell r="A51">
            <v>45199</v>
          </cell>
        </row>
        <row r="52">
          <cell r="A52">
            <v>45230</v>
          </cell>
        </row>
        <row r="53">
          <cell r="A53">
            <v>45260</v>
          </cell>
        </row>
        <row r="54">
          <cell r="A54">
            <v>45291</v>
          </cell>
        </row>
        <row r="55">
          <cell r="A55">
            <v>45322</v>
          </cell>
        </row>
        <row r="56">
          <cell r="A56">
            <v>45351</v>
          </cell>
        </row>
        <row r="57">
          <cell r="A57">
            <v>45382</v>
          </cell>
        </row>
        <row r="58">
          <cell r="A58">
            <v>45412</v>
          </cell>
        </row>
        <row r="59">
          <cell r="A59">
            <v>45443</v>
          </cell>
        </row>
        <row r="60">
          <cell r="A60">
            <v>45473</v>
          </cell>
        </row>
        <row r="61">
          <cell r="A61">
            <v>45504</v>
          </cell>
        </row>
        <row r="62">
          <cell r="A62">
            <v>45535</v>
          </cell>
        </row>
        <row r="63">
          <cell r="A63">
            <v>45565</v>
          </cell>
        </row>
        <row r="64">
          <cell r="A64">
            <v>45596</v>
          </cell>
        </row>
        <row r="65">
          <cell r="A65">
            <v>45626</v>
          </cell>
        </row>
        <row r="66">
          <cell r="A66">
            <v>45657</v>
          </cell>
        </row>
        <row r="67">
          <cell r="A67">
            <v>45688</v>
          </cell>
        </row>
        <row r="68">
          <cell r="A68">
            <v>45716</v>
          </cell>
        </row>
        <row r="69">
          <cell r="A69">
            <v>45747</v>
          </cell>
        </row>
        <row r="70">
          <cell r="A70">
            <v>45777</v>
          </cell>
        </row>
      </sheetData>
      <sheetData sheetId="13"/>
      <sheetData sheetId="14"/>
      <sheetData sheetId="15"/>
      <sheetData sheetId="16"/>
      <sheetData sheetId="17"/>
      <sheetData sheetId="18"/>
      <sheetData sheetId="19">
        <row r="2">
          <cell r="I2">
            <v>0</v>
          </cell>
        </row>
      </sheetData>
      <sheetData sheetId="20"/>
      <sheetData sheetId="21"/>
      <sheetData sheetId="22"/>
      <sheetData sheetId="23">
        <row r="1">
          <cell r="CK1" t="str">
            <v>SwapsPortfolioList</v>
          </cell>
        </row>
      </sheetData>
      <sheetData sheetId="24"/>
      <sheetData sheetId="25"/>
      <sheetData sheetId="26"/>
      <sheetData sheetId="27">
        <row r="1">
          <cell r="V1" t="str">
            <v>FuturesNISATicker</v>
          </cell>
        </row>
      </sheetData>
      <sheetData sheetId="28"/>
      <sheetData sheetId="29">
        <row r="1">
          <cell r="R1" t="str">
            <v>DefaultHeaderText_TRS_Holdings</v>
          </cell>
        </row>
      </sheetData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1">
          <cell r="A1" t="str">
            <v>Portfolio_WH</v>
          </cell>
        </row>
      </sheetData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Office Theme">
  <a:themeElements>
    <a:clrScheme name="NISA Colors">
      <a:dk1>
        <a:srgbClr val="000000"/>
      </a:dk1>
      <a:lt1>
        <a:srgbClr val="FFFFFF"/>
      </a:lt1>
      <a:dk2>
        <a:srgbClr val="DDF3FF"/>
      </a:dk2>
      <a:lt2>
        <a:srgbClr val="EBEBEB"/>
      </a:lt2>
      <a:accent1>
        <a:srgbClr val="004C88"/>
      </a:accent1>
      <a:accent2>
        <a:srgbClr val="83AD99"/>
      </a:accent2>
      <a:accent3>
        <a:srgbClr val="A9B8C1"/>
      </a:accent3>
      <a:accent4>
        <a:srgbClr val="E98571"/>
      </a:accent4>
      <a:accent5>
        <a:srgbClr val="E2D04E"/>
      </a:accent5>
      <a:accent6>
        <a:srgbClr val="00AEEF"/>
      </a:accent6>
      <a:hlink>
        <a:srgbClr val="004C88"/>
      </a:hlink>
      <a:folHlink>
        <a:srgbClr val="004C88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54"/>
  <sheetViews>
    <sheetView showGridLines="0" zoomScale="90" zoomScaleNormal="90" workbookViewId="0">
      <selection activeCell="A1" sqref="A1"/>
    </sheetView>
  </sheetViews>
  <sheetFormatPr baseColWidth="8" defaultColWidth="9.140625" defaultRowHeight="12.75"/>
  <cols>
    <col width="9.140625" customWidth="1" style="21" min="1" max="1"/>
    <col width="3.28515625" customWidth="1" style="21" min="2" max="2"/>
    <col width="41" customWidth="1" style="21" min="3" max="3"/>
    <col width="3.7109375" customWidth="1" style="21" min="4" max="4"/>
    <col width="16" customWidth="1" style="21" min="5" max="5"/>
    <col width="16.28515625" bestFit="1" customWidth="1" style="21" min="6" max="6"/>
    <col width="16.140625" bestFit="1" customWidth="1" style="21" min="7" max="7"/>
    <col width="15.85546875" customWidth="1" style="21" min="8" max="8"/>
    <col width="15.28515625" bestFit="1" customWidth="1" style="21" min="9" max="9"/>
    <col width="5.85546875" customWidth="1" style="21" min="10" max="10"/>
    <col width="16.5703125" customWidth="1" style="21" min="11" max="12"/>
    <col width="5.85546875" customWidth="1" style="21" min="13" max="13"/>
    <col width="9.28515625" customWidth="1" style="69" min="14" max="14"/>
    <col width="15.42578125" customWidth="1" style="69" min="15" max="15"/>
    <col width="17.7109375" bestFit="1" customWidth="1" style="54" min="16" max="16"/>
    <col width="13.28515625" bestFit="1" customWidth="1" style="54" min="17" max="17"/>
    <col width="9.140625" customWidth="1" style="54" min="18" max="16384"/>
  </cols>
  <sheetData>
    <row r="1">
      <c r="A1" s="6" t="inlineStr">
        <is>
          <t>Counterparty Risk Summary</t>
        </is>
      </c>
    </row>
    <row r="2">
      <c r="A2" s="6" t="inlineStr">
        <is>
          <t>Futures - Clearing House</t>
        </is>
      </c>
      <c r="D2" s="115" t="n"/>
    </row>
    <row r="3">
      <c r="C3" s="64" t="n"/>
      <c r="K3" s="116" t="n"/>
    </row>
    <row r="4">
      <c r="C4" s="12" t="n"/>
      <c r="D4" s="12" t="n"/>
      <c r="E4" s="12" t="n"/>
      <c r="F4" s="12" t="n"/>
      <c r="G4" s="12" t="n"/>
      <c r="H4" s="12" t="n"/>
      <c r="I4" s="12" t="n"/>
      <c r="J4" s="12" t="n"/>
      <c r="K4" s="32" t="n"/>
      <c r="L4" s="108" t="n"/>
      <c r="M4" s="12" t="n"/>
      <c r="N4" s="108" t="inlineStr">
        <is>
          <t>Position</t>
        </is>
      </c>
    </row>
    <row r="5" ht="12.75" customHeight="1">
      <c r="B5" t="inlineStr">
        <is>
          <t>Citigroup</t>
        </is>
      </c>
      <c r="C5" s="109" t="inlineStr">
        <is>
          <t>Counterparty/ 
Clearing House</t>
        </is>
      </c>
      <c r="D5" s="12" t="n"/>
      <c r="E5" s="14" t="n"/>
      <c r="F5" s="108" t="inlineStr">
        <is>
          <t>Nominal</t>
        </is>
      </c>
      <c r="G5" s="14" t="n"/>
      <c r="H5" s="14" t="n"/>
      <c r="I5" s="14" t="n"/>
      <c r="J5" s="12" t="n"/>
      <c r="K5" s="32" t="n">
        <v>46022</v>
      </c>
      <c r="L5" s="108" t="inlineStr">
        <is>
          <t>Notional change</t>
        </is>
      </c>
      <c r="M5" s="12" t="n"/>
      <c r="N5" s="110" t="inlineStr">
        <is>
          <t>Annualized Volatility</t>
        </is>
      </c>
    </row>
    <row r="6">
      <c r="D6" s="15" t="n"/>
      <c r="E6" s="110" t="inlineStr">
        <is>
          <t>TIPS</t>
        </is>
      </c>
      <c r="F6" s="110" t="inlineStr">
        <is>
          <t>Treasury</t>
        </is>
      </c>
      <c r="G6" s="110" t="inlineStr">
        <is>
          <t>Equity</t>
        </is>
      </c>
      <c r="H6" s="110" t="inlineStr">
        <is>
          <t>Commodity</t>
        </is>
      </c>
      <c r="I6" s="110" t="inlineStr">
        <is>
          <t>Currency</t>
        </is>
      </c>
      <c r="J6" s="12" t="n"/>
      <c r="K6" s="110" t="inlineStr">
        <is>
          <t>Notional</t>
        </is>
      </c>
      <c r="L6" s="110" t="inlineStr">
        <is>
          <t>from prior month</t>
        </is>
      </c>
      <c r="M6" s="12" t="n"/>
      <c r="N6" s="110" t="inlineStr">
        <is>
          <t>%</t>
        </is>
      </c>
      <c r="O6" s="110" t="inlineStr">
        <is>
          <t>$</t>
        </is>
      </c>
    </row>
    <row r="7">
      <c r="C7" s="16" t="n"/>
      <c r="K7" s="16" t="n"/>
      <c r="L7" s="16" t="n"/>
      <c r="N7" s="99" t="n"/>
      <c r="O7" s="100" t="n"/>
    </row>
    <row r="8" ht="12.75" customHeight="1">
      <c r="B8" s="107" t="inlineStr">
        <is>
          <t>Swaps</t>
        </is>
      </c>
      <c r="C8" s="18" t="inlineStr">
        <is>
          <t>Citigroup</t>
        </is>
      </c>
      <c r="D8" s="18" t="inlineStr"/>
      <c r="E8" s="117" t="n">
        <v>0</v>
      </c>
      <c r="F8" s="117" t="n">
        <v>0</v>
      </c>
      <c r="G8" s="117" t="n">
        <v>-8253541.912</v>
      </c>
      <c r="H8" s="117" t="n">
        <v>0</v>
      </c>
      <c r="I8" s="117" t="n">
        <v>0</v>
      </c>
      <c r="J8" s="18" t="n"/>
      <c r="K8" s="117" t="n">
        <v>-8253541.912</v>
      </c>
      <c r="L8" s="117" t="n">
        <v>-66181.70999999996</v>
      </c>
      <c r="M8" s="18" t="n"/>
      <c r="N8" s="118" t="n">
        <v>0.1540076984990998</v>
      </c>
      <c r="O8" s="117" t="n">
        <v>1271108.99</v>
      </c>
    </row>
    <row r="9" ht="12.75" customHeight="1">
      <c r="C9" s="18" t="inlineStr">
        <is>
          <t>Bank of America, NA</t>
        </is>
      </c>
      <c r="D9" s="18" t="inlineStr"/>
      <c r="E9" s="117" t="n">
        <v>0</v>
      </c>
      <c r="F9" s="117" t="n">
        <v>0</v>
      </c>
      <c r="G9" s="117" t="n">
        <v>2525772180.635</v>
      </c>
      <c r="H9" s="117" t="n">
        <v>0</v>
      </c>
      <c r="I9" s="117" t="n">
        <v>0</v>
      </c>
      <c r="J9" s="18" t="n"/>
      <c r="K9" s="117" t="n">
        <v>2525772180.635</v>
      </c>
      <c r="L9" s="117" t="n">
        <v>526236384.335</v>
      </c>
      <c r="M9" s="18" t="n"/>
      <c r="N9" s="118" t="n">
        <v>0.1531896823752714</v>
      </c>
      <c r="O9" s="117" t="n">
        <v>386922238.1</v>
      </c>
    </row>
    <row r="10" ht="12.75" customHeight="1">
      <c r="C10" s="18" t="inlineStr">
        <is>
          <t>Goldman Sachs Int'l</t>
        </is>
      </c>
      <c r="D10" s="18" t="n">
        <v>0.1540076984990998</v>
      </c>
      <c r="E10" s="117" t="n">
        <v>-0.00104989099838745</v>
      </c>
      <c r="F10" s="117" t="n">
        <v>0</v>
      </c>
      <c r="G10" s="117" t="n">
        <v>0</v>
      </c>
      <c r="H10" s="117" t="n">
        <v>18937613.3936</v>
      </c>
      <c r="I10" s="117" t="n">
        <v>0</v>
      </c>
      <c r="J10" s="18" t="n"/>
      <c r="K10" s="117" t="n">
        <v>18937613.3936</v>
      </c>
      <c r="L10" s="117" t="n">
        <v>-604492269.1664</v>
      </c>
      <c r="M10" s="18" t="n"/>
      <c r="N10" s="118" t="n">
        <v>0.1439709988641773</v>
      </c>
      <c r="O10" s="117" t="n">
        <v>2726467.12</v>
      </c>
    </row>
    <row r="11" ht="12.75" customHeight="1">
      <c r="C11" s="18" t="inlineStr">
        <is>
          <t>JP Morgan</t>
        </is>
      </c>
      <c r="D11" s="18" t="n">
        <v>0.1531913068555421</v>
      </c>
      <c r="E11" s="117" t="n">
        <v>0.2564067760175055</v>
      </c>
      <c r="F11" s="117" t="n">
        <v>314106740.64</v>
      </c>
      <c r="G11" s="117" t="n">
        <v>-4222419.723999999</v>
      </c>
      <c r="H11" s="117" t="n">
        <v>105193922.922</v>
      </c>
      <c r="I11" s="117" t="n">
        <v>0</v>
      </c>
      <c r="J11" s="18" t="n"/>
      <c r="K11" s="117" t="n">
        <v>415078243.838</v>
      </c>
      <c r="L11" s="117" t="n">
        <v>-97236751.80800003</v>
      </c>
      <c r="M11" s="18" t="n"/>
      <c r="N11" s="118" t="n">
        <v>0.05324329745302769</v>
      </c>
      <c r="O11" s="117" t="n">
        <v>22100134.4</v>
      </c>
    </row>
    <row r="12" ht="12.75" customHeight="1">
      <c r="C12" s="18" t="inlineStr">
        <is>
          <t>Societe Generale</t>
        </is>
      </c>
      <c r="D12" s="18" t="n">
        <v>0.1447396404161871</v>
      </c>
      <c r="E12" s="117" t="n">
        <v>0.0799443783682072</v>
      </c>
      <c r="F12" s="117" t="n">
        <v>266611239.88</v>
      </c>
      <c r="G12" s="117" t="n">
        <v>0</v>
      </c>
      <c r="H12" s="117" t="n">
        <v>0</v>
      </c>
      <c r="I12" s="117" t="n">
        <v>0</v>
      </c>
      <c r="J12" s="18" t="n"/>
      <c r="K12" s="117" t="n">
        <v>266611239.88</v>
      </c>
      <c r="L12" s="117" t="n">
        <v>-1558541.039999992</v>
      </c>
      <c r="M12" s="18" t="n"/>
      <c r="N12" s="118" t="n">
        <v>0.05769824635737423</v>
      </c>
      <c r="O12" s="117" t="n">
        <v>15383001</v>
      </c>
    </row>
    <row r="13" ht="12.75" customHeight="1">
      <c r="C13" s="18" t="inlineStr">
        <is>
          <t>Barclays Bank PLC</t>
        </is>
      </c>
      <c r="D13" s="18" t="n">
        <v>0.1034515936204134</v>
      </c>
      <c r="E13" s="117" t="n">
        <v>0.3001522641766861</v>
      </c>
      <c r="F13" s="117" t="n">
        <v>0</v>
      </c>
      <c r="G13" s="117" t="n">
        <v>15750000</v>
      </c>
      <c r="H13" s="117" t="n">
        <v>0</v>
      </c>
      <c r="I13" s="117" t="n">
        <v>0</v>
      </c>
      <c r="J13" s="18" t="n"/>
      <c r="K13" s="117" t="n">
        <v>15750000</v>
      </c>
      <c r="L13" s="117" t="n">
        <v>15750000</v>
      </c>
      <c r="M13" s="18" t="n"/>
      <c r="N13" s="118" t="n">
        <v>0.05142080980861425</v>
      </c>
      <c r="O13" s="117" t="n">
        <v>809877.75</v>
      </c>
    </row>
    <row r="14" ht="12.75" customHeight="1">
      <c r="C14" s="18" t="inlineStr">
        <is>
          <t>BNP Paribas</t>
        </is>
      </c>
      <c r="D14" s="18" t="n">
        <v>0.06672225805235572</v>
      </c>
      <c r="E14" s="117" t="n">
        <v>0.2114176420286248</v>
      </c>
      <c r="F14" s="117" t="n">
        <v>744071355.89</v>
      </c>
      <c r="G14" s="117" t="n">
        <v>1649157416.055</v>
      </c>
      <c r="H14" s="117" t="n">
        <v>0</v>
      </c>
      <c r="I14" s="117" t="n">
        <v>0</v>
      </c>
      <c r="J14" s="18" t="n"/>
      <c r="K14" s="117" t="n">
        <v>2393228771.945</v>
      </c>
      <c r="L14" s="117" t="n">
        <v>52552734.11360025</v>
      </c>
      <c r="M14" s="18" t="n"/>
      <c r="N14" s="118" t="n">
        <v>0.1041079179900219</v>
      </c>
      <c r="O14" s="117" t="n">
        <v>249154064.72</v>
      </c>
    </row>
    <row r="15" ht="12.75" customHeight="1">
      <c r="C15" s="18" t="inlineStr">
        <is>
          <t>Morgan Stanley</t>
        </is>
      </c>
      <c r="D15" s="18" t="n">
        <v>0.05036028094239225</v>
      </c>
      <c r="E15" s="117" t="n">
        <v>0.02329909778689557</v>
      </c>
      <c r="F15" s="117" t="n">
        <v>266000179.93</v>
      </c>
      <c r="G15" s="117" t="n">
        <v>335148436.11</v>
      </c>
      <c r="H15" s="117" t="n">
        <v>0</v>
      </c>
      <c r="I15" s="117" t="n">
        <v>0</v>
      </c>
      <c r="J15" s="18" t="n"/>
      <c r="K15" s="117" t="n">
        <v>601148616.04</v>
      </c>
      <c r="L15" s="117" t="n">
        <v>331106389.5486</v>
      </c>
      <c r="M15" s="18" t="n"/>
      <c r="N15" s="118" t="n">
        <v>0.07529362486573223</v>
      </c>
      <c r="O15" s="117" t="n">
        <v>45262658.38</v>
      </c>
    </row>
    <row r="16">
      <c r="A16" s="54" t="n"/>
      <c r="B16" s="17" t="n"/>
      <c r="D16" t="n">
        <v>0.08110814966256172</v>
      </c>
      <c r="E16" t="n">
        <v>0.007015787835794294</v>
      </c>
      <c r="I16" s="116" t="n"/>
      <c r="N16" s="119" t="n"/>
      <c r="O16" s="54" t="n"/>
    </row>
    <row r="17" ht="12.75" customHeight="1">
      <c r="B17" s="107" t="inlineStr">
        <is>
          <t>Repo</t>
        </is>
      </c>
      <c r="C17" s="18" t="inlineStr">
        <is>
          <t>Morgan Stanley</t>
        </is>
      </c>
      <c r="D17" s="18" t="n">
        <v>0.08867493418443777</v>
      </c>
      <c r="E17" s="117" t="n">
        <v>0.04314021076790404</v>
      </c>
      <c r="F17" s="117" t="n">
        <v>23017684.88</v>
      </c>
      <c r="G17" s="117" t="n"/>
      <c r="H17" s="117" t="n"/>
      <c r="I17" s="117" t="n"/>
      <c r="J17" s="18" t="n"/>
      <c r="K17" s="117" t="n">
        <v>61542654.31</v>
      </c>
      <c r="L17" s="117" t="n">
        <v>-4835228.799999997</v>
      </c>
      <c r="M17" s="18" t="n"/>
      <c r="N17" s="118" t="n">
        <v>0.05811464622848135</v>
      </c>
      <c r="O17" s="117" t="n">
        <v>3576529.58</v>
      </c>
    </row>
    <row r="18" ht="12.75" customHeight="1">
      <c r="C18" s="18" t="inlineStr">
        <is>
          <t>Nomura</t>
        </is>
      </c>
      <c r="D18" s="18" t="n">
        <v>0.1037371934872849</v>
      </c>
      <c r="E18" s="117" t="n">
        <v>0.0005916742980623176</v>
      </c>
      <c r="F18" s="117" t="n">
        <v>50495753.76</v>
      </c>
      <c r="G18" s="117" t="n"/>
      <c r="H18" s="117" t="n"/>
      <c r="I18" s="117" t="n"/>
      <c r="J18" s="18" t="n"/>
      <c r="K18" s="117" t="n">
        <v>182322580.17</v>
      </c>
      <c r="L18" s="117" t="n">
        <v>629331.7699999809</v>
      </c>
      <c r="M18" s="18" t="n"/>
      <c r="N18" s="118" t="n">
        <v>0.05036028493425458</v>
      </c>
      <c r="O18" s="117" t="n">
        <v>9181817.09</v>
      </c>
    </row>
    <row r="19" ht="12.75" customHeight="1">
      <c r="C19" s="18" t="inlineStr">
        <is>
          <t>Mitsubishi</t>
        </is>
      </c>
      <c r="D19" s="18" t="n">
        <v>0.05769824635737422</v>
      </c>
      <c r="E19" s="117" t="n">
        <v>0.03438825605335724</v>
      </c>
      <c r="F19" s="117" t="n">
        <v>4630266.42</v>
      </c>
      <c r="G19" s="117" t="n"/>
      <c r="H19" s="117" t="n"/>
      <c r="I19" s="117" t="n"/>
      <c r="J19" s="18" t="n"/>
      <c r="K19" s="117" t="n">
        <v>4630266.42</v>
      </c>
      <c r="L19" s="117" t="n">
        <v>16215.4299999997</v>
      </c>
      <c r="M19" s="18" t="n"/>
      <c r="N19" s="118" t="n">
        <v>0.1037371934872849</v>
      </c>
      <c r="O19" s="117" t="n">
        <v>480330.84</v>
      </c>
    </row>
    <row r="20" ht="12.75" customHeight="1">
      <c r="C20" s="18" t="inlineStr">
        <is>
          <t>Credit Agricole</t>
        </is>
      </c>
      <c r="D20" s="18" t="n">
        <v>0</v>
      </c>
      <c r="E20" s="117" t="n">
        <v>0.03548831722806187</v>
      </c>
      <c r="F20" s="117" t="n">
        <v>34761858.34</v>
      </c>
      <c r="G20" s="117" t="n"/>
      <c r="H20" s="117" t="n"/>
      <c r="I20" s="117" t="n"/>
      <c r="J20" s="18" t="n"/>
      <c r="K20" s="117" t="n">
        <v>54904543.13</v>
      </c>
      <c r="L20" s="117" t="n">
        <v>193356.7299999893</v>
      </c>
      <c r="M20" s="18" t="n"/>
      <c r="N20" s="118" t="n">
        <v>0.08110814434500127</v>
      </c>
      <c r="O20" s="117" t="n">
        <v>4453205.61</v>
      </c>
    </row>
    <row r="21" ht="12.75" customHeight="1">
      <c r="C21" s="18" t="inlineStr">
        <is>
          <t>JP Morgan</t>
        </is>
      </c>
      <c r="D21" s="18" t="inlineStr"/>
      <c r="E21" s="117" t="n">
        <v>423068972.5100001</v>
      </c>
      <c r="F21" s="117" t="n">
        <v>719124988.9699999</v>
      </c>
      <c r="G21" s="117" t="n"/>
      <c r="H21" s="117" t="n"/>
      <c r="I21" s="117" t="n"/>
      <c r="J21" s="18" t="n"/>
      <c r="K21" s="117" t="n">
        <v>1142193961.48</v>
      </c>
      <c r="L21" s="117" t="n">
        <v>5811719.979999781</v>
      </c>
      <c r="M21" s="18" t="n"/>
      <c r="N21" s="118" t="n">
        <v>0.07997122898302196</v>
      </c>
      <c r="O21" s="117" t="n">
        <v>91342654.84</v>
      </c>
    </row>
    <row r="22">
      <c r="A22" s="54" t="n"/>
      <c r="B22" s="17" t="n"/>
      <c r="I22" s="116" t="n"/>
      <c r="N22" s="119" t="n"/>
      <c r="O22" s="54" t="n"/>
    </row>
    <row r="23" ht="12.75" customHeight="1">
      <c r="B23" s="107" t="inlineStr">
        <is>
          <t>Futures/CDX</t>
        </is>
      </c>
      <c r="C23" s="18" t="inlineStr">
        <is>
          <t>CME Clearing House</t>
        </is>
      </c>
      <c r="D23" s="18" t="inlineStr"/>
      <c r="E23" s="117" t="n">
        <v>0</v>
      </c>
      <c r="F23" s="117" t="n">
        <v>150323359.38</v>
      </c>
      <c r="G23" s="117" t="n">
        <v>25855335</v>
      </c>
      <c r="H23" s="117" t="n">
        <v>10718816</v>
      </c>
      <c r="I23" s="117" t="n">
        <v>-10837843.75</v>
      </c>
      <c r="J23" s="18" t="n"/>
      <c r="K23" s="117" t="n">
        <v>176059666.63</v>
      </c>
      <c r="L23" s="117" t="n">
        <v>-100688716.35</v>
      </c>
      <c r="M23" s="18" t="n"/>
      <c r="N23" s="118" t="n"/>
      <c r="O23" s="117" t="n"/>
      <c r="Q23" s="120" t="n"/>
    </row>
    <row r="24" ht="12.75" customHeight="1">
      <c r="C24" s="18" t="inlineStr">
        <is>
          <t>ICE Clear U.S.</t>
        </is>
      </c>
      <c r="D24" s="18" t="inlineStr"/>
      <c r="E24" s="117" t="n">
        <v>0</v>
      </c>
      <c r="F24" s="117" t="n">
        <v>0</v>
      </c>
      <c r="G24" s="117" t="n">
        <v>65222608.165</v>
      </c>
      <c r="H24" s="117" t="n">
        <v>-12581377.7</v>
      </c>
      <c r="I24" s="117" t="n">
        <v>0</v>
      </c>
      <c r="J24" s="18" t="n"/>
      <c r="K24" s="117" t="n">
        <v>52641230.465</v>
      </c>
      <c r="L24" s="117" t="n">
        <v>544923.9410000071</v>
      </c>
      <c r="M24" s="18" t="n"/>
      <c r="N24" s="118" t="n">
        <v>0.07256226754067571</v>
      </c>
      <c r="O24" s="117" t="n">
        <v>4732700.34</v>
      </c>
    </row>
    <row r="25" ht="12.75" customHeight="1">
      <c r="C25" s="18" t="inlineStr">
        <is>
          <t>EUREX Clearing</t>
        </is>
      </c>
      <c r="D25" s="18" t="inlineStr"/>
      <c r="E25" s="117" t="n">
        <v>0</v>
      </c>
      <c r="F25" s="117" t="n">
        <v>-60828782.12</v>
      </c>
      <c r="G25" s="117" t="n">
        <v>28316776.38</v>
      </c>
      <c r="H25" s="117" t="n">
        <v>0</v>
      </c>
      <c r="I25" s="117" t="n">
        <v>0</v>
      </c>
      <c r="J25" s="18" t="n"/>
      <c r="K25" s="117" t="n">
        <v>-32512005.73999999</v>
      </c>
      <c r="L25" s="117" t="n">
        <v>-110944644.01</v>
      </c>
      <c r="M25" s="18" t="n"/>
      <c r="N25" s="118" t="n"/>
      <c r="O25" s="117" t="n"/>
    </row>
    <row r="26" ht="12.75" customHeight="1">
      <c r="C26" s="18" t="inlineStr">
        <is>
          <t>ICE Clear Europe</t>
        </is>
      </c>
      <c r="D26" s="18" t="inlineStr"/>
      <c r="E26" s="117" t="n">
        <v>0</v>
      </c>
      <c r="F26" s="117" t="n">
        <v>0</v>
      </c>
      <c r="G26" s="117" t="n">
        <v>0</v>
      </c>
      <c r="H26" s="117" t="n">
        <v>1912600</v>
      </c>
      <c r="I26" s="117" t="n">
        <v>0</v>
      </c>
      <c r="J26" s="18" t="n"/>
      <c r="K26" s="117" t="n">
        <v>1912600</v>
      </c>
      <c r="L26" s="117" t="n">
        <v>-13679620</v>
      </c>
      <c r="M26" s="18" t="n"/>
      <c r="N26" s="118" t="n"/>
      <c r="O26" s="117" t="n"/>
    </row>
    <row r="27" ht="12.75" customHeight="1">
      <c r="C27" s="18" t="inlineStr">
        <is>
          <t>Korea Exchange (in-house)</t>
        </is>
      </c>
      <c r="D27" s="18" t="inlineStr"/>
      <c r="E27" s="117" t="n">
        <v>0</v>
      </c>
      <c r="F27" s="117" t="n">
        <v>0</v>
      </c>
      <c r="G27" s="117" t="n">
        <v>7175037.31</v>
      </c>
      <c r="H27" s="117" t="n">
        <v>0</v>
      </c>
      <c r="I27" s="117" t="n">
        <v>0</v>
      </c>
      <c r="J27" s="18" t="n"/>
      <c r="K27" s="117" t="n">
        <v>7175037.31</v>
      </c>
      <c r="L27" s="117" t="n">
        <v>-4735053.47</v>
      </c>
      <c r="M27" s="18" t="n"/>
      <c r="N27" s="118" t="n"/>
      <c r="O27" s="117" t="n"/>
    </row>
    <row r="28" ht="12.75" customHeight="1">
      <c r="C28" s="18" t="inlineStr">
        <is>
          <t>Japan Securities Clearing Corporation</t>
        </is>
      </c>
      <c r="D28" s="18" t="inlineStr"/>
      <c r="E28" s="117" t="n">
        <v>0</v>
      </c>
      <c r="F28" s="117" t="n">
        <v>-75182557.66</v>
      </c>
      <c r="G28" s="117" t="n">
        <v>8038533.92</v>
      </c>
      <c r="H28" s="117" t="n">
        <v>0</v>
      </c>
      <c r="I28" s="117" t="n">
        <v>0</v>
      </c>
      <c r="J28" s="18" t="n"/>
      <c r="K28" s="117" t="n">
        <v>-67144023.73999999</v>
      </c>
      <c r="L28" s="117" t="n">
        <v>19100128.78000002</v>
      </c>
      <c r="M28" s="18" t="n"/>
      <c r="N28" s="118" t="n"/>
      <c r="O28" s="117" t="n"/>
    </row>
    <row r="29" ht="12.75" customHeight="1">
      <c r="B29" s="17" t="n"/>
      <c r="K29" s="121" t="n"/>
      <c r="L29" s="121" t="n"/>
      <c r="N29" s="122" t="n"/>
      <c r="O29" s="54" t="n"/>
    </row>
    <row r="30" ht="12.75" customHeight="1">
      <c r="B30" s="17" t="n"/>
      <c r="C30" s="111" t="inlineStr">
        <is>
          <t>Total by Counterparty/Clearing House (This is not the legal obligation exposure)</t>
        </is>
      </c>
      <c r="J30" s="21" t="n"/>
      <c r="K30" s="123" t="n"/>
      <c r="L30" s="124" t="n"/>
      <c r="M30" s="54" t="n"/>
      <c r="N30" s="122" t="n"/>
      <c r="O30" s="124" t="n"/>
    </row>
    <row r="31" ht="12.75" customHeight="1">
      <c r="B31" s="107" t="inlineStr">
        <is>
          <t>Total by Counterparty</t>
        </is>
      </c>
      <c r="C31" s="18" t="inlineStr">
        <is>
          <t>Citibank</t>
        </is>
      </c>
      <c r="D31" s="18" t="inlineStr"/>
      <c r="E31" s="117" t="n">
        <v>0</v>
      </c>
      <c r="F31" s="117" t="n">
        <v>0</v>
      </c>
      <c r="G31" s="117" t="n">
        <v>-8187360.202</v>
      </c>
      <c r="H31" s="117" t="n">
        <v>0</v>
      </c>
      <c r="I31" s="117" t="n">
        <v>0</v>
      </c>
      <c r="J31" s="18" t="n"/>
      <c r="K31" s="117" t="n">
        <v>-8187360.202</v>
      </c>
      <c r="L31" s="117" t="n">
        <v>-23062.21399999969</v>
      </c>
      <c r="M31" s="18" t="n"/>
      <c r="N31" s="118" t="n">
        <v>0.1540076984990998</v>
      </c>
      <c r="O31" s="117" t="n">
        <v>1271108.99</v>
      </c>
      <c r="P31" s="125" t="n"/>
    </row>
    <row r="32" ht="12.75" customHeight="1">
      <c r="C32" s="18" t="inlineStr">
        <is>
          <t>Bank of America</t>
        </is>
      </c>
      <c r="D32" s="18" t="inlineStr"/>
      <c r="E32" s="117" t="n">
        <v>0</v>
      </c>
      <c r="F32" s="117" t="n">
        <v>0</v>
      </c>
      <c r="G32" s="117" t="n">
        <v>1999535796.3</v>
      </c>
      <c r="H32" s="117" t="n">
        <v>0</v>
      </c>
      <c r="I32" s="117" t="n">
        <v>0</v>
      </c>
      <c r="J32" s="18" t="n"/>
      <c r="K32" s="117" t="n">
        <v>1999535796.3</v>
      </c>
      <c r="L32" s="117" t="n">
        <v>325222119.2800002</v>
      </c>
      <c r="M32" s="18" t="n"/>
      <c r="N32" s="118" t="n">
        <v>0.1531896823752714</v>
      </c>
      <c r="O32" s="117" t="n">
        <v>386922238.1</v>
      </c>
      <c r="P32" s="125" t="n"/>
    </row>
    <row r="33" ht="12.75" customHeight="1">
      <c r="C33" s="18" t="inlineStr">
        <is>
          <t>Goldman Sachs</t>
        </is>
      </c>
      <c r="D33" s="18" t="inlineStr"/>
      <c r="E33" s="117" t="n">
        <v>0</v>
      </c>
      <c r="F33" s="117" t="n">
        <v>0</v>
      </c>
      <c r="G33" s="117" t="n">
        <v>579439132.9</v>
      </c>
      <c r="H33" s="117" t="n">
        <v>43990749.66</v>
      </c>
      <c r="I33" s="117" t="n">
        <v>0</v>
      </c>
      <c r="J33" s="18" t="n"/>
      <c r="K33" s="117" t="n">
        <v>623429882.5599999</v>
      </c>
      <c r="L33" s="117" t="n">
        <v>1774173.260999918</v>
      </c>
      <c r="M33" s="18" t="n"/>
      <c r="N33" s="118" t="n">
        <v>0.1439709988641773</v>
      </c>
      <c r="O33" s="117" t="n">
        <v>2726467.12</v>
      </c>
      <c r="P33" s="125" t="n"/>
    </row>
    <row r="34" ht="12.75" customHeight="1">
      <c r="C34" s="18" t="inlineStr">
        <is>
          <t>BNP Paribas</t>
        </is>
      </c>
      <c r="D34" s="18" t="inlineStr"/>
      <c r="E34" s="117" t="n">
        <v>0</v>
      </c>
      <c r="F34" s="117" t="n">
        <v>748421006.51</v>
      </c>
      <c r="G34" s="117" t="n">
        <v>1592255031.3214</v>
      </c>
      <c r="H34" s="117" t="n">
        <v>0</v>
      </c>
      <c r="I34" s="117" t="n">
        <v>0</v>
      </c>
      <c r="J34" s="18" t="n"/>
      <c r="K34" s="117" t="n">
        <v>2340676037.8314</v>
      </c>
      <c r="L34" s="117" t="n">
        <v>8721781.605799675</v>
      </c>
      <c r="M34" s="18" t="n"/>
      <c r="N34" s="118" t="n">
        <v>0.1041079179900219</v>
      </c>
      <c r="O34" s="117" t="n">
        <v>249154064.72</v>
      </c>
      <c r="P34" s="125" t="n"/>
    </row>
    <row r="35" ht="12.75" customHeight="1">
      <c r="C35" s="18" t="inlineStr">
        <is>
          <t>JP Morgan</t>
        </is>
      </c>
      <c r="D35" s="18" t="inlineStr"/>
      <c r="E35" s="117" t="n">
        <v>421592365.4099999</v>
      </c>
      <c r="F35" s="117" t="n">
        <v>1072859794.25</v>
      </c>
      <c r="G35" s="117" t="n">
        <v>-4045407.240000002</v>
      </c>
      <c r="H35" s="117" t="n">
        <v>158290484.726</v>
      </c>
      <c r="I35" s="117" t="n">
        <v>0</v>
      </c>
      <c r="J35" s="18" t="n"/>
      <c r="K35" s="117" t="n">
        <v>1648697237.146</v>
      </c>
      <c r="L35" s="117" t="n">
        <v>-227816480.2758999</v>
      </c>
      <c r="M35" s="18" t="n"/>
      <c r="N35" s="118" t="n">
        <v>0.0689512894136789</v>
      </c>
      <c r="O35" s="117" t="n">
        <v>107375926.52</v>
      </c>
      <c r="P35" s="125" t="n"/>
    </row>
    <row r="36" ht="12.75" customHeight="1">
      <c r="C36" s="18" t="inlineStr">
        <is>
          <t>Nomura</t>
        </is>
      </c>
      <c r="D36" s="18" t="n"/>
      <c r="E36" s="117" t="n">
        <v>131371801.76</v>
      </c>
      <c r="F36" s="117" t="n">
        <v>50321446.64</v>
      </c>
      <c r="G36" s="117" t="n">
        <v>0</v>
      </c>
      <c r="H36" s="117" t="n">
        <v>0</v>
      </c>
      <c r="I36" s="117" t="n">
        <v>0</v>
      </c>
      <c r="J36" s="18" t="n"/>
      <c r="K36" s="117" t="n">
        <v>181693248.4</v>
      </c>
      <c r="L36" s="117" t="n">
        <v>-75184396.07999998</v>
      </c>
      <c r="M36" s="18" t="n"/>
      <c r="N36" s="118" t="n">
        <v>0.05036028493425458</v>
      </c>
      <c r="O36" s="117" t="n">
        <v>9181817.09</v>
      </c>
      <c r="P36" s="125" t="n"/>
    </row>
    <row r="37" ht="12.75" customHeight="1">
      <c r="C37" s="18" t="inlineStr">
        <is>
          <t>Credit Agricole</t>
        </is>
      </c>
      <c r="D37" s="18" t="inlineStr"/>
      <c r="E37" s="117" t="n">
        <v>20071741.37</v>
      </c>
      <c r="F37" s="117" t="n">
        <v>34639445.03</v>
      </c>
      <c r="G37" s="117" t="n">
        <v>0</v>
      </c>
      <c r="H37" s="117" t="n">
        <v>0</v>
      </c>
      <c r="I37" s="117" t="n">
        <v>0</v>
      </c>
      <c r="J37" s="18" t="n"/>
      <c r="K37" s="117" t="n">
        <v>54711186.40000001</v>
      </c>
      <c r="L37" s="117" t="n">
        <v>194306.3600000143</v>
      </c>
      <c r="M37" s="18" t="n"/>
      <c r="N37" s="118" t="n">
        <v>0.08110814434500127</v>
      </c>
      <c r="O37" s="117" t="n">
        <v>4453205.61</v>
      </c>
      <c r="P37" s="125" t="n"/>
    </row>
    <row r="38" ht="12.75" customHeight="1">
      <c r="C38" s="18" t="inlineStr">
        <is>
          <t>Morgan Stanley</t>
        </is>
      </c>
      <c r="D38" s="18" t="inlineStr"/>
      <c r="E38" s="117" t="n">
        <v>34804330.45</v>
      </c>
      <c r="F38" s="117" t="n">
        <v>31573552.66</v>
      </c>
      <c r="G38" s="117" t="n">
        <v>270042226.4913999</v>
      </c>
      <c r="H38" s="117" t="n">
        <v>0</v>
      </c>
      <c r="I38" s="117" t="n">
        <v>0</v>
      </c>
      <c r="J38" s="18" t="n"/>
      <c r="K38" s="117" t="n">
        <v>336420109.6014</v>
      </c>
      <c r="L38" s="117" t="n">
        <v>-5586435.994200051</v>
      </c>
      <c r="M38" s="18" t="n"/>
      <c r="N38" s="118" t="n">
        <v>0.07151231573957662</v>
      </c>
      <c r="O38" s="117" t="n">
        <v>47390587.36</v>
      </c>
      <c r="P38" s="125" t="n"/>
    </row>
    <row r="39" ht="12.75" customHeight="1">
      <c r="C39" s="18" t="inlineStr">
        <is>
          <t>Mitsubishi</t>
        </is>
      </c>
      <c r="D39" s="18" t="inlineStr"/>
      <c r="E39" s="117" t="n">
        <v>0</v>
      </c>
      <c r="F39" s="117" t="n">
        <v>4614050.99</v>
      </c>
      <c r="G39" s="117" t="n">
        <v>0</v>
      </c>
      <c r="H39" s="117" t="n">
        <v>0</v>
      </c>
      <c r="I39" s="117" t="n">
        <v>0</v>
      </c>
      <c r="J39" s="18" t="n"/>
      <c r="K39" s="117" t="n">
        <v>4614050.99</v>
      </c>
      <c r="L39" s="117" t="n">
        <v>15386.45000000019</v>
      </c>
      <c r="M39" s="18" t="n"/>
      <c r="N39" s="118" t="n">
        <v>0.1037371934872849</v>
      </c>
      <c r="O39" s="117" t="n">
        <v>480330.84</v>
      </c>
      <c r="P39" s="125" t="n"/>
    </row>
    <row r="40" ht="12.75" customHeight="1">
      <c r="C40" s="18" t="inlineStr">
        <is>
          <t>Soc Gen</t>
        </is>
      </c>
      <c r="D40" s="18" t="inlineStr"/>
      <c r="E40" s="117" t="n">
        <v>0</v>
      </c>
      <c r="F40" s="117" t="n">
        <v>268169780.92</v>
      </c>
      <c r="G40" s="117" t="n">
        <v>0</v>
      </c>
      <c r="H40" s="117" t="n">
        <v>0</v>
      </c>
      <c r="I40" s="117" t="n">
        <v>0</v>
      </c>
      <c r="J40" s="18" t="n"/>
      <c r="K40" s="117" t="n">
        <v>268169780.92</v>
      </c>
      <c r="L40" s="117" t="n">
        <v>2698290.439999998</v>
      </c>
      <c r="M40" s="18" t="n"/>
      <c r="N40" s="118" t="n">
        <v>0.05769824635737423</v>
      </c>
      <c r="O40" s="117" t="n">
        <v>15383001</v>
      </c>
      <c r="P40" s="125" t="n"/>
    </row>
    <row r="41" ht="12.75" customHeight="1">
      <c r="C41" s="18" t="inlineStr">
        <is>
          <t>CME</t>
        </is>
      </c>
      <c r="D41" s="18" t="n"/>
      <c r="E41" s="117" t="n">
        <v>0</v>
      </c>
      <c r="F41" s="117" t="n">
        <v>165537515.63</v>
      </c>
      <c r="G41" s="117" t="n">
        <v>35867700</v>
      </c>
      <c r="H41" s="117" t="n">
        <v>31238311.1</v>
      </c>
      <c r="I41" s="117" t="n">
        <v>44104856.25</v>
      </c>
      <c r="J41" s="18" t="n"/>
      <c r="K41" s="117" t="n">
        <v>276748382.98</v>
      </c>
      <c r="L41" s="117" t="n">
        <v>34510685.43000001</v>
      </c>
      <c r="M41" s="18" t="n"/>
      <c r="N41" s="118" t="n">
        <v>0.05142080980861425</v>
      </c>
      <c r="O41" s="117" t="n">
        <v>809877.75</v>
      </c>
      <c r="P41" s="125" t="n"/>
    </row>
    <row r="42" ht="12.75" customHeight="1">
      <c r="C42" s="18" t="inlineStr">
        <is>
          <t>ICE</t>
        </is>
      </c>
      <c r="D42" s="18" t="inlineStr"/>
      <c r="E42" s="117" t="n">
        <v>0</v>
      </c>
      <c r="F42" s="117" t="n">
        <v>0</v>
      </c>
      <c r="G42" s="117" t="n">
        <v>65105239.524</v>
      </c>
      <c r="H42" s="117" t="n">
        <v>-13008933</v>
      </c>
      <c r="I42" s="117" t="n">
        <v>0</v>
      </c>
      <c r="J42" s="18" t="n"/>
      <c r="K42" s="117" t="n">
        <v>52096306.524</v>
      </c>
      <c r="L42" s="117" t="n">
        <v>1622245.969999991</v>
      </c>
      <c r="M42" s="18" t="n"/>
      <c r="N42" s="118" t="n"/>
      <c r="O42" s="117" t="n"/>
      <c r="P42" s="125" t="n"/>
    </row>
    <row r="43" ht="12.75" customHeight="1">
      <c r="C43" s="18" t="inlineStr">
        <is>
          <t>EUREX</t>
        </is>
      </c>
      <c r="D43" s="18" t="inlineStr"/>
      <c r="E43" s="117" t="n">
        <v>0</v>
      </c>
      <c r="F43" s="117" t="n">
        <v>41594645.86</v>
      </c>
      <c r="G43" s="117" t="n">
        <v>36837992.41</v>
      </c>
      <c r="H43" s="117" t="n">
        <v>0</v>
      </c>
      <c r="I43" s="117" t="n">
        <v>0</v>
      </c>
      <c r="J43" s="18" t="n"/>
      <c r="K43" s="117" t="n">
        <v>78432638.27</v>
      </c>
      <c r="L43" s="117" t="n">
        <v>178642255.95</v>
      </c>
      <c r="M43" s="18" t="n"/>
      <c r="N43" s="118" t="n">
        <v>0.07256226754067571</v>
      </c>
      <c r="O43" s="117" t="n">
        <v>4732700.34</v>
      </c>
      <c r="P43" s="125" t="n"/>
    </row>
    <row r="44" ht="12.75" customHeight="1">
      <c r="C44" s="18" t="inlineStr">
        <is>
          <t>ICE Euro</t>
        </is>
      </c>
      <c r="D44" s="18" t="inlineStr"/>
      <c r="E44" s="117" t="n">
        <v>0</v>
      </c>
      <c r="F44" s="117" t="n">
        <v>0</v>
      </c>
      <c r="G44" s="117" t="n">
        <v>0</v>
      </c>
      <c r="H44" s="117" t="n">
        <v>15592220</v>
      </c>
      <c r="I44" s="117" t="n">
        <v>0</v>
      </c>
      <c r="J44" s="18" t="n"/>
      <c r="K44" s="117" t="n">
        <v>15592220</v>
      </c>
      <c r="L44" s="117" t="n">
        <v>15360110</v>
      </c>
      <c r="M44" s="18" t="n"/>
      <c r="N44" s="118" t="n"/>
      <c r="O44" s="117" t="n"/>
      <c r="P44" s="125" t="n"/>
    </row>
    <row r="45" ht="12.75" customHeight="1">
      <c r="C45" s="18" t="inlineStr">
        <is>
          <t>Korea Exchange</t>
        </is>
      </c>
      <c r="D45" s="18" t="inlineStr"/>
      <c r="E45" s="117" t="n">
        <v>0</v>
      </c>
      <c r="F45" s="117" t="n">
        <v>0</v>
      </c>
      <c r="G45" s="117" t="n">
        <v>11910090.78</v>
      </c>
      <c r="H45" s="117" t="n">
        <v>0</v>
      </c>
      <c r="I45" s="117" t="n">
        <v>0</v>
      </c>
      <c r="J45" s="18" t="n"/>
      <c r="K45" s="117" t="n">
        <v>11910090.78</v>
      </c>
      <c r="L45" s="117" t="n">
        <v>-4915624.26</v>
      </c>
      <c r="M45" s="18" t="n"/>
      <c r="N45" s="118" t="n"/>
      <c r="O45" s="117" t="n"/>
    </row>
    <row r="46" ht="12.75" customHeight="1">
      <c r="C46" s="18" t="inlineStr">
        <is>
          <t>Japan SCC</t>
        </is>
      </c>
      <c r="D46" s="18" t="inlineStr"/>
      <c r="E46" s="117" t="n">
        <v>0</v>
      </c>
      <c r="F46" s="117" t="n">
        <v>-96554694.01000001</v>
      </c>
      <c r="G46" s="117" t="n">
        <v>10310541.49</v>
      </c>
      <c r="H46" s="117" t="n">
        <v>0</v>
      </c>
      <c r="I46" s="117" t="n">
        <v>0</v>
      </c>
      <c r="J46" s="18" t="n"/>
      <c r="K46" s="117" t="n">
        <v>-86244152.52000001</v>
      </c>
      <c r="L46" s="117" t="n">
        <v>-22234026.26000002</v>
      </c>
      <c r="M46" s="18" t="n"/>
      <c r="N46" s="118" t="n"/>
      <c r="O46" s="117" t="n"/>
    </row>
    <row r="47" ht="12.75" customHeight="1">
      <c r="C47" s="18" t="n"/>
      <c r="D47" s="18" t="inlineStr"/>
      <c r="E47" s="117" t="n"/>
      <c r="F47" s="117" t="n"/>
      <c r="G47" s="117" t="n"/>
      <c r="H47" s="117" t="n"/>
      <c r="I47" s="117" t="n"/>
      <c r="J47" s="18" t="n"/>
      <c r="K47" s="117" t="n"/>
      <c r="L47" s="117" t="n"/>
      <c r="M47" s="18" t="n"/>
      <c r="N47" s="118" t="n"/>
      <c r="O47" s="117" t="n"/>
    </row>
    <row r="48">
      <c r="B48" s="17" t="n"/>
      <c r="C48" s="39" t="inlineStr">
        <is>
          <t>Total Current Exposure</t>
        </is>
      </c>
      <c r="E48" s="116" t="n"/>
      <c r="F48" s="116" t="n"/>
      <c r="G48" s="116" t="n"/>
      <c r="H48" s="116" t="n"/>
      <c r="I48" s="116" t="n"/>
      <c r="J48" s="116" t="n"/>
      <c r="K48" s="124" t="n"/>
      <c r="L48" s="124" t="n"/>
      <c r="M48" s="124" t="n"/>
      <c r="N48" s="54" t="n"/>
      <c r="O48" s="54" t="n"/>
    </row>
    <row r="49" ht="12.75" customHeight="1">
      <c r="B49" s="17" t="n"/>
      <c r="C49" s="18" t="inlineStr">
        <is>
          <t>MOSERS Program</t>
        </is>
      </c>
      <c r="D49" s="18" t="inlineStr"/>
      <c r="E49" s="117" t="n">
        <v>613563453.14</v>
      </c>
      <c r="F49" s="117" t="n">
        <v>2437132088.31</v>
      </c>
      <c r="G49" s="117" t="n">
        <v>4647960361.939</v>
      </c>
      <c r="H49" s="117" t="n">
        <v>124181574.6156</v>
      </c>
      <c r="I49" s="117" t="n">
        <v>-10837843.75</v>
      </c>
      <c r="J49" s="18" t="n"/>
      <c r="K49" s="117" t="n">
        <v>7811999634.254601</v>
      </c>
      <c r="L49" s="117" t="n">
        <v>13704178.2738</v>
      </c>
      <c r="M49" s="18" t="n"/>
      <c r="N49" s="118" t="n">
        <v>0.094129753915104</v>
      </c>
      <c r="O49" s="117" t="n">
        <v>728478612.52</v>
      </c>
      <c r="P49" s="54" t="inlineStr">
        <is>
          <t>**</t>
        </is>
      </c>
    </row>
    <row r="50" ht="12.75" customHeight="1">
      <c r="B50" s="17" t="n"/>
      <c r="C50" s="18" t="inlineStr">
        <is>
          <t>Notional Breakdown</t>
        </is>
      </c>
      <c r="D50" s="18" t="inlineStr"/>
      <c r="E50" s="29" t="n">
        <v>0.07854115231260433</v>
      </c>
      <c r="F50" s="29" t="n">
        <v>0.3119728881736621</v>
      </c>
      <c r="G50" s="29" t="n">
        <v>0.5949770327123799</v>
      </c>
      <c r="H50" s="29" t="n">
        <v>0.01589625965560469</v>
      </c>
      <c r="I50" s="29" t="n">
        <v>-0.00138733285425123</v>
      </c>
      <c r="J50" s="29" t="n"/>
      <c r="K50" s="29" t="n">
        <v>0.9999999999999999</v>
      </c>
      <c r="L50" s="29" t="n"/>
      <c r="M50" s="18" t="n"/>
      <c r="N50" s="118" t="n"/>
      <c r="O50" s="117" t="n"/>
    </row>
    <row r="51">
      <c r="B51" s="17" t="n"/>
      <c r="K51" s="116" t="n"/>
    </row>
    <row r="52">
      <c r="B52" s="17" t="n"/>
      <c r="C52" s="71" t="inlineStr">
        <is>
          <t>Risk exclusive of the Trend positions.</t>
        </is>
      </c>
      <c r="K52" s="116" t="n"/>
    </row>
    <row r="53">
      <c r="B53" s="17" t="n"/>
      <c r="C53" s="54" t="inlineStr">
        <is>
          <t>** Risk includes the $25.32 MM of risk from the Trend positions.</t>
        </is>
      </c>
    </row>
    <row r="54">
      <c r="B54" s="17" t="n"/>
      <c r="K54" s="116" t="n"/>
    </row>
  </sheetData>
  <mergeCells count="8">
    <mergeCell ref="C30:G30"/>
    <mergeCell ref="B17:B21"/>
    <mergeCell ref="B8:B15"/>
    <mergeCell ref="N5:O5"/>
    <mergeCell ref="B31:B47"/>
    <mergeCell ref="B23:B28"/>
    <mergeCell ref="N4:O4"/>
    <mergeCell ref="C5:C6"/>
  </mergeCells>
  <pageMargins left="0.25" right="0.25" top="0.75" bottom="0.75" header="0.3" footer="0.3"/>
  <pageSetup orientation="landscape" scale="33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V137"/>
  <sheetViews>
    <sheetView showGridLines="0" zoomScale="90" zoomScaleNormal="90" workbookViewId="0">
      <selection activeCell="A1" sqref="A1"/>
    </sheetView>
  </sheetViews>
  <sheetFormatPr baseColWidth="8" defaultColWidth="9.140625" defaultRowHeight="12.75"/>
  <cols>
    <col width="9.140625" customWidth="1" style="21" min="1" max="1"/>
    <col width="3.28515625" bestFit="1" customWidth="1" style="21" min="2" max="2"/>
    <col width="34.7109375" customWidth="1" style="21" min="3" max="3"/>
    <col width="6.42578125" customWidth="1" style="21" min="4" max="4"/>
    <col width="17" customWidth="1" style="21" min="5" max="5"/>
    <col width="17.5703125" customWidth="1" style="21" min="6" max="6"/>
    <col width="16.42578125" customWidth="1" style="21" min="7" max="7"/>
    <col width="15.85546875" customWidth="1" style="21" min="8" max="8"/>
    <col width="14.7109375" customWidth="1" style="21" min="9" max="9"/>
    <col width="4.7109375" customWidth="1" style="21" min="10" max="10"/>
    <col width="16.5703125" customWidth="1" style="21" min="11" max="12"/>
    <col width="5.85546875" customWidth="1" style="21" min="13" max="13"/>
    <col width="9.28515625" customWidth="1" style="21" min="14" max="14"/>
    <col width="15.42578125" customWidth="1" style="21" min="15" max="15"/>
    <col width="16.5703125" bestFit="1" customWidth="1" style="54" min="16" max="16"/>
    <col width="13.28515625" bestFit="1" customWidth="1" style="54" min="17" max="17"/>
    <col width="16.140625" bestFit="1" customWidth="1" style="54" min="18" max="18"/>
    <col width="15.7109375" customWidth="1" style="54" min="19" max="19"/>
    <col width="17.7109375" customWidth="1" style="54" min="20" max="20"/>
    <col width="16.5703125" customWidth="1" style="54" min="21" max="21"/>
    <col width="21.42578125" customWidth="1" style="54" min="22" max="22"/>
    <col width="9.140625" customWidth="1" style="54" min="23" max="16384"/>
  </cols>
  <sheetData>
    <row r="1">
      <c r="A1" s="6" t="inlineStr">
        <is>
          <t>Counterparty Risk Summary</t>
        </is>
      </c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  <c r="N1" s="21" t="n"/>
    </row>
    <row r="2">
      <c r="A2" s="6" t="inlineStr">
        <is>
          <t>Futures - FCM</t>
        </is>
      </c>
      <c r="K2" s="116" t="n"/>
      <c r="L2" s="116" t="n"/>
      <c r="N2" s="121" t="n"/>
      <c r="O2" s="116" t="n"/>
    </row>
    <row r="3" ht="12.75" customHeight="1">
      <c r="C3" s="54" t="n"/>
      <c r="D3" s="54" t="n"/>
      <c r="E3" s="124" t="n"/>
      <c r="F3" s="124" t="n"/>
      <c r="G3" s="124" t="n"/>
      <c r="H3" s="124" t="n"/>
      <c r="I3" s="124" t="n"/>
      <c r="J3" s="54" t="n"/>
      <c r="K3" s="124" t="n"/>
      <c r="L3" s="124" t="n"/>
      <c r="M3" s="54" t="n"/>
      <c r="N3" s="126" t="n"/>
      <c r="O3" s="127" t="n"/>
    </row>
    <row r="4">
      <c r="C4" s="21" t="n"/>
      <c r="D4" s="21" t="n"/>
      <c r="E4" s="21" t="n"/>
      <c r="F4" s="21" t="n"/>
      <c r="G4" s="21" t="n"/>
      <c r="H4" s="21" t="n"/>
      <c r="I4" s="21" t="n"/>
      <c r="J4" s="21" t="n"/>
      <c r="K4" s="32" t="n"/>
      <c r="L4" s="108" t="n"/>
      <c r="M4" s="21" t="n"/>
      <c r="N4" s="112" t="inlineStr">
        <is>
          <t>Position</t>
        </is>
      </c>
    </row>
    <row r="5" ht="12.75" customHeight="1">
      <c r="C5" s="113" t="inlineStr">
        <is>
          <t>Counterparty/ FCM</t>
        </is>
      </c>
      <c r="D5" s="21" t="n"/>
      <c r="E5" s="6" t="n"/>
      <c r="F5" s="112" t="inlineStr">
        <is>
          <t>Nominal</t>
        </is>
      </c>
      <c r="G5" s="6" t="n"/>
      <c r="H5" s="6" t="n"/>
      <c r="I5" s="6" t="n"/>
      <c r="J5" s="6" t="n"/>
      <c r="K5" s="32" t="inlineStr">
        <is>
          <t>12/31 Total</t>
        </is>
      </c>
      <c r="L5" s="108" t="inlineStr">
        <is>
          <t>Notional change</t>
        </is>
      </c>
      <c r="M5" s="6" t="n"/>
      <c r="N5" s="114" t="inlineStr">
        <is>
          <t>Annualized Volatility</t>
        </is>
      </c>
    </row>
    <row r="6" ht="12.75" customHeight="1">
      <c r="D6" s="39" t="n"/>
      <c r="E6" s="114" t="inlineStr">
        <is>
          <t>TIPS</t>
        </is>
      </c>
      <c r="F6" s="114" t="inlineStr">
        <is>
          <t>Treasury</t>
        </is>
      </c>
      <c r="G6" s="114" t="inlineStr">
        <is>
          <t>Equity</t>
        </is>
      </c>
      <c r="H6" s="114" t="inlineStr">
        <is>
          <t>Commodity</t>
        </is>
      </c>
      <c r="I6" s="114" t="inlineStr">
        <is>
          <t>Currency</t>
        </is>
      </c>
      <c r="J6" s="6" t="n"/>
      <c r="K6" s="110" t="inlineStr">
        <is>
          <t>Notional</t>
        </is>
      </c>
      <c r="L6" s="110" t="inlineStr">
        <is>
          <t>from prior month</t>
        </is>
      </c>
      <c r="M6" s="6" t="n"/>
      <c r="N6" s="114" t="inlineStr">
        <is>
          <t>%</t>
        </is>
      </c>
      <c r="O6" s="114" t="inlineStr">
        <is>
          <t>$</t>
        </is>
      </c>
    </row>
    <row r="7" ht="12.75" customHeight="1">
      <c r="K7" s="128" t="n"/>
      <c r="L7" s="128" t="n"/>
      <c r="N7" s="126" t="n"/>
      <c r="O7" s="127" t="n"/>
      <c r="R7" s="129" t="n"/>
      <c r="U7" s="129" t="n"/>
    </row>
    <row r="8" ht="12.75" customFormat="1" customHeight="1" s="54">
      <c r="A8" s="21" t="n"/>
      <c r="B8" s="67" t="inlineStr">
        <is>
          <t>Futures</t>
        </is>
      </c>
      <c r="C8" s="18" t="inlineStr">
        <is>
          <t>Morgan Stanley</t>
        </is>
      </c>
      <c r="D8" s="18" t="inlineStr"/>
      <c r="E8" s="117" t="n">
        <v>0</v>
      </c>
      <c r="F8" s="117" t="n">
        <v>14312019.59999999</v>
      </c>
      <c r="G8" s="117" t="n">
        <v>69385682.61</v>
      </c>
      <c r="H8" s="117" t="n">
        <v>50038.30000000075</v>
      </c>
      <c r="I8" s="117" t="n">
        <v>-10837843.75</v>
      </c>
      <c r="J8" s="18" t="n"/>
      <c r="K8" s="117" t="n">
        <v>72909896.75999999</v>
      </c>
      <c r="L8" s="130" t="n">
        <v>-210520349.75</v>
      </c>
      <c r="M8" s="18" t="n"/>
      <c r="N8" s="131" t="n"/>
      <c r="O8" s="132" t="n"/>
    </row>
    <row r="9">
      <c r="K9" s="116" t="n"/>
      <c r="L9" s="133" t="n"/>
      <c r="N9" s="121" t="n"/>
      <c r="O9" s="116" t="n"/>
    </row>
    <row r="10" ht="12.75" customHeight="1">
      <c r="C10" s="39" t="inlineStr">
        <is>
          <t>Total by Counterparty/ FCM (This is not the legal obligation exposure)</t>
        </is>
      </c>
      <c r="D10" s="39" t="n"/>
      <c r="E10" s="39" t="n"/>
      <c r="F10" s="39" t="n"/>
      <c r="K10" s="134" t="n"/>
      <c r="L10" s="133" t="n"/>
      <c r="N10" s="121" t="n"/>
      <c r="O10" s="116" t="n"/>
    </row>
    <row r="11" ht="12.75" customFormat="1" customHeight="1" s="54">
      <c r="A11" s="21" t="n"/>
      <c r="B11" s="107" t="inlineStr">
        <is>
          <t>Total by Counterparty</t>
        </is>
      </c>
      <c r="C11" s="73" t="inlineStr">
        <is>
          <t>Citibank</t>
        </is>
      </c>
      <c r="D11" s="73" t="inlineStr"/>
      <c r="E11" s="135" t="n">
        <v>0</v>
      </c>
      <c r="F11" s="135" t="n">
        <v>0</v>
      </c>
      <c r="G11" s="135" t="n">
        <v>-8187360.202</v>
      </c>
      <c r="H11" s="135" t="n">
        <v>0</v>
      </c>
      <c r="I11" s="135" t="n">
        <v>0</v>
      </c>
      <c r="J11" s="73" t="n"/>
      <c r="K11" s="135" t="n">
        <v>-8187360.202</v>
      </c>
      <c r="L11" s="136" t="n">
        <v>-23062.21399999969</v>
      </c>
      <c r="M11" s="73" t="n"/>
      <c r="N11" s="137" t="n">
        <v>0.1540076984990998</v>
      </c>
      <c r="O11" s="138" t="n">
        <v>1271108.99</v>
      </c>
      <c r="P11" s="129" t="n"/>
      <c r="Q11" s="129" t="n"/>
      <c r="R11" s="129" t="n"/>
      <c r="S11" s="129" t="n"/>
      <c r="T11" s="129" t="n"/>
      <c r="U11" s="129" t="n"/>
      <c r="V11" s="129" t="n"/>
    </row>
    <row r="12" ht="12.75" customFormat="1" customHeight="1" s="54">
      <c r="A12" s="21" t="n"/>
      <c r="C12" s="73" t="inlineStr">
        <is>
          <t>Bank of America</t>
        </is>
      </c>
      <c r="D12" s="73" t="inlineStr"/>
      <c r="E12" s="135" t="n">
        <v>0</v>
      </c>
      <c r="F12" s="135" t="n">
        <v>0</v>
      </c>
      <c r="G12" s="135" t="n">
        <v>1999535796.3</v>
      </c>
      <c r="H12" s="135" t="n">
        <v>0</v>
      </c>
      <c r="I12" s="135" t="n">
        <v>0</v>
      </c>
      <c r="J12" s="73" t="n"/>
      <c r="K12" s="135" t="n">
        <v>1999535796.3</v>
      </c>
      <c r="L12" s="136" t="n">
        <v>325222119.2800002</v>
      </c>
      <c r="M12" s="73" t="n"/>
      <c r="N12" s="137" t="n">
        <v>0.1531896823752714</v>
      </c>
      <c r="O12" s="138" t="n">
        <v>386922238.1</v>
      </c>
      <c r="P12" s="129" t="n"/>
      <c r="Q12" s="129" t="n"/>
      <c r="R12" s="129" t="n"/>
      <c r="S12" s="129" t="n"/>
      <c r="T12" s="129" t="n"/>
      <c r="U12" s="129" t="n"/>
      <c r="V12" s="129" t="n"/>
    </row>
    <row r="13" ht="12.75" customFormat="1" customHeight="1" s="54">
      <c r="A13" s="21" t="n"/>
      <c r="C13" s="73" t="inlineStr">
        <is>
          <t>Goldman Sachs</t>
        </is>
      </c>
      <c r="D13" s="73" t="inlineStr"/>
      <c r="E13" s="135" t="n">
        <v>0</v>
      </c>
      <c r="F13" s="135" t="n">
        <v>0</v>
      </c>
      <c r="G13" s="135" t="n">
        <v>579439132.9</v>
      </c>
      <c r="H13" s="135" t="n">
        <v>43990749.66</v>
      </c>
      <c r="I13" s="135" t="n">
        <v>0</v>
      </c>
      <c r="J13" s="73" t="n"/>
      <c r="K13" s="135" t="n">
        <v>623429882.5599999</v>
      </c>
      <c r="L13" s="136" t="n">
        <v>1774173.260999918</v>
      </c>
      <c r="M13" s="73" t="n"/>
      <c r="N13" s="137" t="n">
        <v>0.1439709988641773</v>
      </c>
      <c r="O13" s="138" t="n">
        <v>2726467.12</v>
      </c>
      <c r="P13" s="129" t="n"/>
      <c r="Q13" s="129" t="n"/>
      <c r="R13" s="129" t="n"/>
      <c r="S13" s="129" t="n"/>
      <c r="T13" s="129" t="n"/>
      <c r="U13" s="129" t="n"/>
      <c r="V13" s="129" t="n"/>
    </row>
    <row r="14" ht="12.75" customFormat="1" customHeight="1" s="54">
      <c r="A14" s="21" t="n"/>
      <c r="C14" s="73" t="inlineStr">
        <is>
          <t>BNP Paribas</t>
        </is>
      </c>
      <c r="D14" s="73" t="inlineStr"/>
      <c r="E14" s="135" t="n">
        <v>0</v>
      </c>
      <c r="F14" s="135" t="n">
        <v>748421006.51</v>
      </c>
      <c r="G14" s="135" t="n">
        <v>1592255031.3214</v>
      </c>
      <c r="H14" s="135" t="n">
        <v>0</v>
      </c>
      <c r="I14" s="135" t="n">
        <v>0</v>
      </c>
      <c r="J14" s="73" t="n"/>
      <c r="K14" s="135" t="n">
        <v>2340676037.8314</v>
      </c>
      <c r="L14" s="136" t="n">
        <v>8721781.605799675</v>
      </c>
      <c r="M14" s="73" t="n"/>
      <c r="N14" s="137" t="n">
        <v>0.1041079179900219</v>
      </c>
      <c r="O14" s="138" t="n">
        <v>249154064.72</v>
      </c>
      <c r="P14" s="129" t="n"/>
      <c r="Q14" s="129" t="n"/>
      <c r="R14" s="129" t="n"/>
      <c r="S14" s="129" t="n"/>
      <c r="T14" s="129" t="n"/>
      <c r="U14" s="129" t="n"/>
      <c r="V14" s="129" t="n"/>
    </row>
    <row r="15" ht="12.75" customFormat="1" customHeight="1" s="54">
      <c r="A15" s="21" t="n"/>
      <c r="C15" s="73" t="inlineStr">
        <is>
          <t>JP Morgan</t>
        </is>
      </c>
      <c r="D15" s="73" t="inlineStr"/>
      <c r="E15" s="135" t="n">
        <v>421592365.4099999</v>
      </c>
      <c r="F15" s="135" t="n">
        <v>1072859794.25</v>
      </c>
      <c r="G15" s="135" t="n">
        <v>-4045407.240000002</v>
      </c>
      <c r="H15" s="135" t="n">
        <v>158290484.726</v>
      </c>
      <c r="I15" s="135" t="n">
        <v>0</v>
      </c>
      <c r="J15" s="73" t="n"/>
      <c r="K15" s="135" t="n">
        <v>1648697237.146</v>
      </c>
      <c r="L15" s="136" t="n">
        <v>-227816480.2758999</v>
      </c>
      <c r="M15" s="73" t="n"/>
      <c r="N15" s="137" t="n">
        <v>0.0689512894136789</v>
      </c>
      <c r="O15" s="138" t="n">
        <v>107375926.52</v>
      </c>
      <c r="P15" s="129" t="n"/>
      <c r="Q15" s="129" t="n"/>
      <c r="R15" s="129" t="n"/>
      <c r="S15" s="129" t="n"/>
      <c r="T15" s="129" t="n"/>
      <c r="U15" s="129" t="n"/>
      <c r="V15" s="129" t="n"/>
    </row>
    <row r="16" ht="12.75" customFormat="1" customHeight="1" s="54">
      <c r="A16" s="21" t="n"/>
      <c r="C16" s="73" t="inlineStr">
        <is>
          <t>Nomura</t>
        </is>
      </c>
      <c r="D16" s="73" t="n"/>
      <c r="E16" s="135" t="n">
        <v>131371801.76</v>
      </c>
      <c r="F16" s="135" t="n">
        <v>50321446.64</v>
      </c>
      <c r="G16" s="135" t="n">
        <v>0</v>
      </c>
      <c r="H16" s="135" t="n">
        <v>0</v>
      </c>
      <c r="I16" s="135" t="n">
        <v>0</v>
      </c>
      <c r="J16" s="73" t="n"/>
      <c r="K16" s="135" t="n">
        <v>181693248.4</v>
      </c>
      <c r="L16" s="136" t="n">
        <v>-75184396.07999998</v>
      </c>
      <c r="M16" s="73" t="n"/>
      <c r="N16" s="137" t="n">
        <v>0.05036028493425458</v>
      </c>
      <c r="O16" s="138" t="n">
        <v>9181817.09</v>
      </c>
      <c r="P16" s="129" t="n"/>
      <c r="Q16" s="129" t="n"/>
      <c r="R16" s="129" t="n"/>
      <c r="S16" s="129" t="n"/>
      <c r="T16" s="129" t="n"/>
      <c r="U16" s="129" t="n"/>
      <c r="V16" s="129" t="n"/>
    </row>
    <row r="17" ht="12.75" customFormat="1" customHeight="1" s="54">
      <c r="A17" s="21" t="n"/>
      <c r="C17" s="73" t="inlineStr">
        <is>
          <t>Credit Agricole</t>
        </is>
      </c>
      <c r="D17" s="73" t="inlineStr"/>
      <c r="E17" s="135" t="n">
        <v>20071741.37</v>
      </c>
      <c r="F17" s="135" t="n">
        <v>34639445.03</v>
      </c>
      <c r="G17" s="135" t="n">
        <v>0</v>
      </c>
      <c r="H17" s="135" t="n">
        <v>0</v>
      </c>
      <c r="I17" s="135" t="n">
        <v>0</v>
      </c>
      <c r="J17" s="73" t="n"/>
      <c r="K17" s="135" t="n">
        <v>54711186.40000001</v>
      </c>
      <c r="L17" s="136" t="n">
        <v>194306.3600000143</v>
      </c>
      <c r="M17" s="73" t="n"/>
      <c r="N17" s="137" t="n">
        <v>0.08110814434500127</v>
      </c>
      <c r="O17" s="138" t="n">
        <v>4453205.61</v>
      </c>
      <c r="P17" s="129" t="n"/>
      <c r="Q17" s="129" t="n"/>
      <c r="R17" s="129" t="n"/>
      <c r="S17" s="129" t="n"/>
      <c r="T17" s="129" t="n"/>
      <c r="U17" s="129" t="n"/>
      <c r="V17" s="129" t="n"/>
    </row>
    <row r="18" ht="12.75" customFormat="1" customHeight="1" s="54">
      <c r="A18" s="21" t="n"/>
      <c r="C18" s="73" t="inlineStr">
        <is>
          <t>Morgan Stanley</t>
        </is>
      </c>
      <c r="D18" s="73" t="inlineStr"/>
      <c r="E18" s="135" t="n">
        <v>34804330.45</v>
      </c>
      <c r="F18" s="135" t="n">
        <v>31573552.66</v>
      </c>
      <c r="G18" s="135" t="n">
        <v>270042226.4913999</v>
      </c>
      <c r="H18" s="135" t="n">
        <v>0</v>
      </c>
      <c r="I18" s="135" t="n">
        <v>0</v>
      </c>
      <c r="J18" s="73" t="n"/>
      <c r="K18" s="135" t="n">
        <v>336420109.6014</v>
      </c>
      <c r="L18" s="136" t="n">
        <v>-5586435.994200051</v>
      </c>
      <c r="M18" s="73" t="n"/>
      <c r="N18" s="137" t="n">
        <v>0.07151231573957662</v>
      </c>
      <c r="O18" s="138" t="n">
        <v>47390587.36</v>
      </c>
      <c r="P18" s="129" t="n"/>
      <c r="Q18" s="129" t="n"/>
      <c r="R18" s="129" t="n"/>
      <c r="S18" s="129" t="n"/>
      <c r="T18" s="129" t="n"/>
      <c r="U18" s="129" t="n"/>
      <c r="V18" s="129" t="n"/>
    </row>
    <row r="19" ht="12.75" customFormat="1" customHeight="1" s="54">
      <c r="A19" s="21" t="n"/>
      <c r="C19" s="73" t="inlineStr">
        <is>
          <t>Mitsubishi</t>
        </is>
      </c>
      <c r="D19" s="73" t="inlineStr"/>
      <c r="E19" s="135" t="n">
        <v>0</v>
      </c>
      <c r="F19" s="135" t="n">
        <v>4614050.99</v>
      </c>
      <c r="G19" s="135" t="n">
        <v>0</v>
      </c>
      <c r="H19" s="135" t="n">
        <v>0</v>
      </c>
      <c r="I19" s="135" t="n">
        <v>0</v>
      </c>
      <c r="J19" s="73" t="n"/>
      <c r="K19" s="135" t="n">
        <v>4614050.99</v>
      </c>
      <c r="L19" s="136" t="n">
        <v>15386.45000000019</v>
      </c>
      <c r="M19" s="73" t="n"/>
      <c r="N19" s="137" t="n">
        <v>0.1037371934872849</v>
      </c>
      <c r="O19" s="138" t="n">
        <v>480330.84</v>
      </c>
      <c r="P19" s="129" t="n"/>
      <c r="Q19" s="129" t="n"/>
      <c r="R19" s="129" t="n"/>
      <c r="S19" s="129" t="n"/>
      <c r="T19" s="129" t="n"/>
      <c r="U19" s="129" t="n"/>
      <c r="V19" s="129" t="n"/>
    </row>
    <row r="20" ht="12.75" customFormat="1" customHeight="1" s="54">
      <c r="A20" s="21" t="n"/>
      <c r="C20" s="73" t="inlineStr">
        <is>
          <t>Soc Gen</t>
        </is>
      </c>
      <c r="D20" s="73" t="inlineStr"/>
      <c r="E20" s="135" t="n">
        <v>0</v>
      </c>
      <c r="F20" s="135" t="n">
        <v>268169780.92</v>
      </c>
      <c r="G20" s="135" t="n">
        <v>0</v>
      </c>
      <c r="H20" s="135" t="n">
        <v>0</v>
      </c>
      <c r="I20" s="135" t="n">
        <v>0</v>
      </c>
      <c r="J20" s="73" t="n"/>
      <c r="K20" s="135" t="n">
        <v>268169780.92</v>
      </c>
      <c r="L20" s="136" t="n">
        <v>2698290.439999998</v>
      </c>
      <c r="M20" s="73" t="n"/>
      <c r="N20" s="137" t="n">
        <v>0.05769824635737423</v>
      </c>
      <c r="O20" s="138" t="n">
        <v>15383001</v>
      </c>
      <c r="P20" s="129" t="n"/>
      <c r="Q20" s="129" t="n"/>
      <c r="R20" s="129" t="n"/>
      <c r="S20" s="129" t="n"/>
      <c r="T20" s="129" t="n"/>
      <c r="U20" s="129" t="n"/>
      <c r="V20" s="129" t="n"/>
    </row>
    <row r="21" ht="12.75" customFormat="1" customHeight="1" s="54">
      <c r="A21" s="21" t="n"/>
      <c r="B21" s="107" t="n"/>
      <c r="C21" s="73" t="inlineStr">
        <is>
          <t>CME</t>
        </is>
      </c>
      <c r="D21" s="73" t="inlineStr"/>
      <c r="E21" s="135" t="n">
        <v>0</v>
      </c>
      <c r="F21" s="135" t="n">
        <v>165537515.63</v>
      </c>
      <c r="G21" s="135" t="n">
        <v>35867700</v>
      </c>
      <c r="H21" s="135" t="n">
        <v>31238311.1</v>
      </c>
      <c r="I21" s="135" t="n">
        <v>44104856.25</v>
      </c>
      <c r="J21" s="73" t="n"/>
      <c r="K21" s="135" t="n">
        <v>276748382.98</v>
      </c>
      <c r="L21" s="136" t="n">
        <v>34510685.43000001</v>
      </c>
      <c r="M21" s="73" t="n"/>
      <c r="N21" s="137" t="n">
        <v>0.05142080980861425</v>
      </c>
      <c r="O21" s="138" t="n">
        <v>809877.75</v>
      </c>
      <c r="P21" s="129" t="n"/>
      <c r="Q21" s="129" t="n"/>
      <c r="R21" s="129" t="n"/>
      <c r="S21" s="129" t="n"/>
      <c r="T21" s="129" t="n"/>
      <c r="U21" s="129" t="n"/>
      <c r="V21" s="129" t="n"/>
    </row>
    <row r="22">
      <c r="C22" s="54" t="inlineStr">
        <is>
          <t>ICE</t>
        </is>
      </c>
      <c r="D22" s="21" t="n"/>
      <c r="E22" s="21" t="n">
        <v>0</v>
      </c>
      <c r="F22" s="21" t="n">
        <v>0</v>
      </c>
      <c r="G22" s="21" t="n">
        <v>65105239.524</v>
      </c>
      <c r="H22" s="21" t="n">
        <v>-13008933</v>
      </c>
      <c r="I22" s="21" t="n">
        <v>0</v>
      </c>
      <c r="J22" s="21" t="n"/>
      <c r="K22" s="21" t="n">
        <v>52096306.524</v>
      </c>
      <c r="L22" t="n">
        <v>1622245.969999991</v>
      </c>
      <c r="N22" s="121" t="n"/>
      <c r="O22" s="116" t="n"/>
    </row>
    <row r="23" customFormat="1" s="48">
      <c r="A23" s="20" t="n"/>
      <c r="B23" s="20" t="n"/>
      <c r="C23" s="44" t="inlineStr">
        <is>
          <t>FUTURES DETAIL</t>
        </is>
      </c>
      <c r="D23" s="45" t="n"/>
      <c r="E23" s="45" t="n"/>
      <c r="F23" s="45" t="n"/>
      <c r="G23" s="45" t="n"/>
      <c r="H23" s="45" t="n"/>
      <c r="I23" s="45" t="n"/>
      <c r="J23" s="45" t="n"/>
      <c r="K23" s="45" t="n"/>
      <c r="L23" s="46">
        <f>K5</f>
        <v/>
      </c>
      <c r="M23" s="45" t="n"/>
      <c r="N23" s="45" t="n"/>
      <c r="O23" s="139" t="n"/>
    </row>
    <row r="24" ht="12.75" customFormat="1" customHeight="1" s="54">
      <c r="A24" s="21" t="n"/>
      <c r="B24" s="21" t="n"/>
      <c r="C24" s="49" t="inlineStr">
        <is>
          <t>Account</t>
        </is>
      </c>
      <c r="D24" s="50" t="n"/>
      <c r="E24" s="49" t="inlineStr">
        <is>
          <t>Description</t>
        </is>
      </c>
      <c r="F24" s="49" t="n"/>
      <c r="G24" s="49" t="inlineStr">
        <is>
          <t>Class</t>
        </is>
      </c>
      <c r="H24" s="49" t="inlineStr">
        <is>
          <t>FCM</t>
        </is>
      </c>
      <c r="I24" s="49" t="inlineStr">
        <is>
          <t>Clearing House</t>
        </is>
      </c>
      <c r="J24" s="51" t="n"/>
      <c r="K24" s="52" t="n"/>
      <c r="L24" s="53" t="inlineStr">
        <is>
          <t>Notional</t>
        </is>
      </c>
      <c r="M24" s="52" t="n"/>
      <c r="N24" s="52" t="n"/>
      <c r="O24" s="129" t="n"/>
    </row>
    <row r="25" customFormat="1" s="54">
      <c r="A25" s="21" t="n"/>
      <c r="B25" s="21" t="n"/>
      <c r="C25" s="77" t="inlineStr">
        <is>
          <t>Synthetic Alt Beta - Standard Trend</t>
        </is>
      </c>
      <c r="D25" s="73" t="n"/>
      <c r="E25" s="77" t="inlineStr">
        <is>
          <t>WTI CRUDE FUTURE  Feb26</t>
        </is>
      </c>
      <c r="F25" s="77" t="n"/>
      <c r="G25" s="77" t="inlineStr">
        <is>
          <t>Commodity</t>
        </is>
      </c>
      <c r="H25" s="77" t="inlineStr">
        <is>
          <t>Morgan Stanley</t>
        </is>
      </c>
      <c r="I25" s="77" t="inlineStr">
        <is>
          <t>CME Clearing House</t>
        </is>
      </c>
      <c r="J25" s="73" t="n"/>
      <c r="K25" s="73" t="n"/>
      <c r="L25" s="140" t="n">
        <v>6400000</v>
      </c>
      <c r="M25" s="141" t="n"/>
      <c r="N25" s="141" t="n"/>
      <c r="O25" s="76" t="n"/>
      <c r="P25" s="142" t="n"/>
    </row>
    <row r="26" customFormat="1" s="54">
      <c r="A26" s="21" t="n"/>
      <c r="B26" s="21" t="n"/>
      <c r="C26" s="77" t="inlineStr">
        <is>
          <t>Synthetic Alt Beta - Standard Trend</t>
        </is>
      </c>
      <c r="D26" s="73" t="n"/>
      <c r="E26" s="77" t="inlineStr">
        <is>
          <t>NATURAL GAS FUTR  Feb26</t>
        </is>
      </c>
      <c r="F26" s="77" t="n"/>
      <c r="G26" s="77" t="inlineStr">
        <is>
          <t>Commodity</t>
        </is>
      </c>
      <c r="H26" s="77" t="inlineStr">
        <is>
          <t>Morgan Stanley</t>
        </is>
      </c>
      <c r="I26" s="77" t="inlineStr">
        <is>
          <t>CME Clearing House</t>
        </is>
      </c>
      <c r="J26" s="73" t="n"/>
      <c r="K26" s="73" t="n"/>
      <c r="L26" s="140" t="n">
        <v>4100000</v>
      </c>
      <c r="M26" s="141" t="n"/>
      <c r="N26" s="141" t="n"/>
      <c r="O26" s="76" t="n"/>
      <c r="P26" s="142" t="n"/>
    </row>
    <row r="27" customFormat="1" s="54">
      <c r="A27" s="21" t="n"/>
      <c r="B27" s="21" t="n"/>
      <c r="C27" s="77" t="inlineStr">
        <is>
          <t>Synthetic Alt Beta - Standard Trend</t>
        </is>
      </c>
      <c r="D27" s="73" t="n"/>
      <c r="E27" s="77" t="inlineStr">
        <is>
          <t>GASOLINE RBOB FUT Feb26</t>
        </is>
      </c>
      <c r="F27" s="77" t="n"/>
      <c r="G27" s="77" t="inlineStr">
        <is>
          <t>Commodity</t>
        </is>
      </c>
      <c r="H27" s="77" t="inlineStr">
        <is>
          <t>Morgan Stanley</t>
        </is>
      </c>
      <c r="I27" s="77" t="inlineStr">
        <is>
          <t>CME Clearing House</t>
        </is>
      </c>
      <c r="J27" s="73" t="n"/>
      <c r="K27" s="73" t="n"/>
      <c r="L27" s="140" t="n">
        <v>-7100000</v>
      </c>
      <c r="M27" s="141" t="n"/>
      <c r="N27" s="141" t="n"/>
      <c r="O27" s="76" t="n"/>
      <c r="P27" s="142" t="n"/>
    </row>
    <row r="28" customFormat="1" s="54">
      <c r="A28" s="21" t="n"/>
      <c r="B28" s="21" t="n"/>
      <c r="C28" s="77" t="inlineStr">
        <is>
          <t>Synthetic Alt Beta - Standard Trend</t>
        </is>
      </c>
      <c r="D28" s="73" t="n"/>
      <c r="E28" s="77" t="inlineStr">
        <is>
          <t>NY Harb ULSD Fut  Feb26</t>
        </is>
      </c>
      <c r="F28" s="77" t="n"/>
      <c r="G28" s="77" t="inlineStr">
        <is>
          <t>Commodity</t>
        </is>
      </c>
      <c r="H28" s="77" t="inlineStr">
        <is>
          <t>Morgan Stanley</t>
        </is>
      </c>
      <c r="I28" s="77" t="inlineStr">
        <is>
          <t>CME Clearing House</t>
        </is>
      </c>
      <c r="J28" s="73" t="n"/>
      <c r="K28" s="73" t="n"/>
      <c r="L28" s="140" t="n">
        <v>-5200000</v>
      </c>
      <c r="M28" s="141" t="n"/>
      <c r="N28" s="141" t="n"/>
      <c r="O28" s="76" t="n"/>
      <c r="P28" s="142" t="n"/>
    </row>
    <row r="29" customFormat="1" s="54">
      <c r="A29" s="21" t="n"/>
      <c r="B29" s="21" t="n"/>
      <c r="C29" s="77" t="inlineStr">
        <is>
          <t>Synthetic Alt Beta - Standard Trend</t>
        </is>
      </c>
      <c r="D29" s="73" t="n"/>
      <c r="E29" s="77" t="inlineStr">
        <is>
          <t>BRENT CRUDE FUTR  Mar26</t>
        </is>
      </c>
      <c r="F29" s="77" t="n"/>
      <c r="G29" s="77" t="inlineStr">
        <is>
          <t>Commodity</t>
        </is>
      </c>
      <c r="H29" s="77" t="inlineStr">
        <is>
          <t>Morgan Stanley</t>
        </is>
      </c>
      <c r="I29" s="77" t="inlineStr">
        <is>
          <t>ICE Clear Europe</t>
        </is>
      </c>
      <c r="J29" s="73" t="n"/>
      <c r="K29" s="73" t="n"/>
      <c r="L29" s="140" t="n">
        <v>7100000</v>
      </c>
      <c r="M29" s="141" t="n"/>
      <c r="N29" s="141" t="n"/>
      <c r="O29" s="76" t="n"/>
      <c r="P29" s="142" t="n"/>
    </row>
    <row r="30">
      <c r="C30" s="77" t="inlineStr">
        <is>
          <t>Synthetic Alt Beta - Standard Trend</t>
        </is>
      </c>
      <c r="D30" s="73" t="n"/>
      <c r="E30" s="77" t="inlineStr">
        <is>
          <t>Low Su Gasoil G   Feb26</t>
        </is>
      </c>
      <c r="F30" s="77" t="n"/>
      <c r="G30" s="77" t="inlineStr">
        <is>
          <t>Commodity</t>
        </is>
      </c>
      <c r="H30" s="77" t="inlineStr">
        <is>
          <t>Morgan Stanley</t>
        </is>
      </c>
      <c r="I30" s="77" t="inlineStr">
        <is>
          <t>ICE Clear Europe</t>
        </is>
      </c>
      <c r="J30" s="73" t="n"/>
      <c r="K30" s="73" t="n"/>
      <c r="L30" s="140" t="n">
        <v>-5100000</v>
      </c>
      <c r="M30" s="141" t="n"/>
      <c r="N30" s="141" t="n"/>
      <c r="O30" s="76" t="n"/>
      <c r="P30" s="142" t="n"/>
    </row>
    <row r="31">
      <c r="B31" s="57" t="n"/>
      <c r="C31" s="77" t="inlineStr">
        <is>
          <t>Synthetic Alt Beta - Standard Trend</t>
        </is>
      </c>
      <c r="D31" s="73" t="n"/>
      <c r="E31" s="77" t="inlineStr">
        <is>
          <t>GOLD 100 OZ FUTR  Feb26</t>
        </is>
      </c>
      <c r="F31" s="77" t="n"/>
      <c r="G31" s="77" t="inlineStr">
        <is>
          <t>Commodity</t>
        </is>
      </c>
      <c r="H31" s="77" t="inlineStr">
        <is>
          <t>Morgan Stanley</t>
        </is>
      </c>
      <c r="I31" s="77" t="inlineStr">
        <is>
          <t>CME Clearing House</t>
        </is>
      </c>
      <c r="J31" s="73" t="n"/>
      <c r="K31" s="73" t="n"/>
      <c r="L31" s="140" t="n">
        <v>4800000</v>
      </c>
      <c r="M31" s="141" t="n"/>
      <c r="N31" s="141" t="n"/>
      <c r="O31" s="76" t="n"/>
      <c r="P31" s="142" t="n"/>
    </row>
    <row r="32">
      <c r="B32" s="57" t="n"/>
      <c r="C32" s="77" t="inlineStr">
        <is>
          <t>Synthetic Alt Beta - Standard Trend</t>
        </is>
      </c>
      <c r="D32" s="73" t="n"/>
      <c r="E32" s="77" t="inlineStr">
        <is>
          <t>SUGAR #11 (WORLD) Mar26</t>
        </is>
      </c>
      <c r="F32" s="77" t="n"/>
      <c r="G32" s="77" t="inlineStr">
        <is>
          <t>Commodity</t>
        </is>
      </c>
      <c r="H32" s="77" t="inlineStr">
        <is>
          <t>Morgan Stanley</t>
        </is>
      </c>
      <c r="I32" s="77" t="inlineStr">
        <is>
          <t>ICE Clear U.S.</t>
        </is>
      </c>
      <c r="J32" s="73" t="n"/>
      <c r="K32" s="73" t="n"/>
      <c r="L32" s="140" t="n">
        <v>-4600000</v>
      </c>
      <c r="M32" s="141" t="n"/>
      <c r="N32" s="141" t="n"/>
      <c r="O32" s="76" t="n"/>
      <c r="P32" s="142" t="n"/>
    </row>
    <row r="33">
      <c r="C33" s="77" t="inlineStr">
        <is>
          <t>Synthetic Alt Beta - Standard Trend</t>
        </is>
      </c>
      <c r="D33" s="73" t="n"/>
      <c r="E33" s="77" t="inlineStr">
        <is>
          <t>LIVE CATTLE FUTR  Feb26</t>
        </is>
      </c>
      <c r="F33" s="77" t="n"/>
      <c r="G33" s="77" t="inlineStr">
        <is>
          <t>Commodity</t>
        </is>
      </c>
      <c r="H33" s="77" t="inlineStr">
        <is>
          <t>Morgan Stanley</t>
        </is>
      </c>
      <c r="I33" s="77" t="inlineStr">
        <is>
          <t>CME Clearing House</t>
        </is>
      </c>
      <c r="J33" s="73" t="n"/>
      <c r="K33" s="73" t="n"/>
      <c r="L33" s="140" t="n">
        <v>4700000</v>
      </c>
      <c r="M33" s="141" t="n"/>
      <c r="N33" s="141" t="n"/>
      <c r="O33" s="76" t="n"/>
      <c r="P33" s="142" t="n"/>
    </row>
    <row r="34">
      <c r="C34" s="77" t="inlineStr">
        <is>
          <t>Synthetic Alt Beta - Standard Trend</t>
        </is>
      </c>
      <c r="D34" s="73" t="n"/>
      <c r="E34" s="77" t="inlineStr">
        <is>
          <t>EURO-BUND FUTURE  Mar26</t>
        </is>
      </c>
      <c r="F34" s="77" t="n"/>
      <c r="G34" s="77" t="inlineStr">
        <is>
          <t>Treasury</t>
        </is>
      </c>
      <c r="H34" s="77" t="inlineStr">
        <is>
          <t>Morgan Stanley</t>
        </is>
      </c>
      <c r="I34" s="77" t="inlineStr">
        <is>
          <t>EUREX Clearing</t>
        </is>
      </c>
      <c r="J34" s="73" t="n"/>
      <c r="K34" s="73" t="n"/>
      <c r="L34" s="140" t="n">
        <v>-60800000</v>
      </c>
      <c r="M34" s="141" t="n"/>
      <c r="N34" s="141" t="n"/>
      <c r="O34" s="76" t="n"/>
      <c r="P34" s="142" t="n"/>
    </row>
    <row r="35">
      <c r="C35" s="77" t="inlineStr">
        <is>
          <t>Synthetic Alt Beta - Standard Trend</t>
        </is>
      </c>
      <c r="D35" s="73" t="n"/>
      <c r="E35" s="77" t="inlineStr">
        <is>
          <t>COTTON NO.2 FUTR  Mar26</t>
        </is>
      </c>
      <c r="F35" s="77" t="n"/>
      <c r="G35" s="77" t="inlineStr">
        <is>
          <t>Commodity</t>
        </is>
      </c>
      <c r="H35" s="77" t="inlineStr">
        <is>
          <t>Morgan Stanley</t>
        </is>
      </c>
      <c r="I35" s="77" t="inlineStr">
        <is>
          <t>ICE Clear U.S.</t>
        </is>
      </c>
      <c r="J35" s="73" t="n"/>
      <c r="K35" s="73" t="n"/>
      <c r="L35" s="140" t="n">
        <v>-10400000</v>
      </c>
      <c r="M35" s="141" t="n"/>
      <c r="N35" s="141" t="n"/>
      <c r="O35" s="76" t="n"/>
      <c r="P35" s="142" t="n"/>
    </row>
    <row r="36">
      <c r="C36" s="77" t="inlineStr">
        <is>
          <t>Synthetic Alt Beta - Standard Trend</t>
        </is>
      </c>
      <c r="D36" s="73" t="n"/>
      <c r="E36" s="77" t="inlineStr">
        <is>
          <t>NIKKEI 225  (OSE) Mar26</t>
        </is>
      </c>
      <c r="F36" s="77" t="n"/>
      <c r="G36" s="77" t="inlineStr">
        <is>
          <t>Equity</t>
        </is>
      </c>
      <c r="H36" s="77" t="inlineStr">
        <is>
          <t>Morgan Stanley</t>
        </is>
      </c>
      <c r="I36" s="77" t="inlineStr">
        <is>
          <t>Japan Securities Clearing Corporation</t>
        </is>
      </c>
      <c r="J36" s="73" t="n"/>
      <c r="K36" s="73" t="n"/>
      <c r="L36" s="140" t="n">
        <v>8000000</v>
      </c>
      <c r="M36" s="141" t="n"/>
      <c r="N36" s="141" t="n"/>
      <c r="O36" s="76" t="n"/>
      <c r="P36" s="142" t="n"/>
    </row>
    <row r="37">
      <c r="C37" s="77" t="inlineStr">
        <is>
          <t>Synthetic Alt Beta - Standard Trend</t>
        </is>
      </c>
      <c r="D37" s="73" t="n"/>
      <c r="E37" s="77" t="inlineStr">
        <is>
          <t>WHEAT FUTURE(CBT) Mar26</t>
        </is>
      </c>
      <c r="F37" s="77" t="n"/>
      <c r="G37" s="77" t="inlineStr">
        <is>
          <t>Commodity</t>
        </is>
      </c>
      <c r="H37" s="77" t="inlineStr">
        <is>
          <t>Morgan Stanley</t>
        </is>
      </c>
      <c r="I37" s="77" t="inlineStr">
        <is>
          <t>CME Clearing House</t>
        </is>
      </c>
      <c r="J37" s="73" t="n"/>
      <c r="K37" s="73" t="n"/>
      <c r="L37" s="140" t="n">
        <v>-5200000</v>
      </c>
      <c r="M37" s="141" t="n"/>
      <c r="N37" s="141" t="n"/>
      <c r="O37" s="76" t="n"/>
      <c r="P37" s="142" t="n"/>
    </row>
    <row r="38" customFormat="1" s="9">
      <c r="A38" s="21" t="n"/>
      <c r="B38" s="21" t="n"/>
      <c r="C38" s="77" t="inlineStr">
        <is>
          <t>Synthetic Alt Beta - Standard Trend</t>
        </is>
      </c>
      <c r="D38" s="73" t="n"/>
      <c r="E38" s="77" t="inlineStr">
        <is>
          <t>SOYBEAN FUTURE    Mar26</t>
        </is>
      </c>
      <c r="F38" s="77" t="n"/>
      <c r="G38" s="77" t="inlineStr">
        <is>
          <t>Commodity</t>
        </is>
      </c>
      <c r="H38" s="77" t="inlineStr">
        <is>
          <t>Morgan Stanley</t>
        </is>
      </c>
      <c r="I38" s="77" t="inlineStr">
        <is>
          <t>CME Clearing House</t>
        </is>
      </c>
      <c r="J38" s="73" t="n"/>
      <c r="K38" s="73" t="n"/>
      <c r="L38" s="140" t="n">
        <v>6700000</v>
      </c>
      <c r="M38" s="141" t="n"/>
      <c r="N38" s="141" t="n"/>
      <c r="O38" s="76" t="n"/>
      <c r="P38" s="142" t="n"/>
    </row>
    <row r="39" customFormat="1" s="9">
      <c r="A39" s="21" t="n"/>
      <c r="B39" s="21" t="n"/>
      <c r="C39" s="77" t="inlineStr">
        <is>
          <t>Synthetic Alt Beta - Standard Trend</t>
        </is>
      </c>
      <c r="D39" s="73" t="n"/>
      <c r="E39" s="77" t="inlineStr">
        <is>
          <t>JPN 10Y BOND(OSE) Mar26</t>
        </is>
      </c>
      <c r="F39" s="77" t="n"/>
      <c r="G39" s="77" t="inlineStr">
        <is>
          <t>Treasury</t>
        </is>
      </c>
      <c r="H39" s="77" t="inlineStr">
        <is>
          <t>Morgan Stanley</t>
        </is>
      </c>
      <c r="I39" s="77" t="inlineStr">
        <is>
          <t>Japan Securities Clearing Corporation</t>
        </is>
      </c>
      <c r="J39" s="73" t="n"/>
      <c r="K39" s="73" t="n"/>
      <c r="L39" s="140" t="n">
        <v>-75200000</v>
      </c>
      <c r="M39" s="141" t="n"/>
      <c r="N39" s="141" t="n"/>
      <c r="O39" s="76" t="n"/>
      <c r="P39" s="142" t="n"/>
    </row>
    <row r="40" customFormat="1" s="9">
      <c r="A40" s="21" t="n"/>
      <c r="B40" s="21" t="n"/>
      <c r="C40" s="77" t="inlineStr">
        <is>
          <t>Synthetic Alt Beta - Standard Trend</t>
        </is>
      </c>
      <c r="D40" s="73" t="n"/>
      <c r="E40" s="77" t="inlineStr">
        <is>
          <t>CORN FUTURE       Mar26</t>
        </is>
      </c>
      <c r="F40" s="77" t="n"/>
      <c r="G40" s="77" t="inlineStr">
        <is>
          <t>Commodity</t>
        </is>
      </c>
      <c r="H40" s="77" t="inlineStr">
        <is>
          <t>Morgan Stanley</t>
        </is>
      </c>
      <c r="I40" s="77" t="inlineStr">
        <is>
          <t>CME Clearing House</t>
        </is>
      </c>
      <c r="J40" s="73" t="n"/>
      <c r="K40" s="73" t="n"/>
      <c r="L40" s="140" t="n">
        <v>-7200000</v>
      </c>
      <c r="M40" s="141" t="n"/>
      <c r="N40" s="141" t="n"/>
      <c r="O40" s="76" t="n"/>
      <c r="P40" s="142" t="n"/>
    </row>
    <row r="41" customFormat="1" s="9">
      <c r="A41" s="21" t="n"/>
      <c r="B41" s="21" t="n"/>
      <c r="C41" s="77" t="inlineStr">
        <is>
          <t>Synthetic Alt Beta - Standard Trend</t>
        </is>
      </c>
      <c r="D41" s="73" t="n"/>
      <c r="E41" s="77" t="inlineStr">
        <is>
          <t>CHF CURRENCY FUT  Mar26</t>
        </is>
      </c>
      <c r="F41" s="77" t="n"/>
      <c r="G41" s="77" t="inlineStr">
        <is>
          <t>Currency</t>
        </is>
      </c>
      <c r="H41" s="77" t="inlineStr">
        <is>
          <t>Morgan Stanley</t>
        </is>
      </c>
      <c r="I41" s="77" t="inlineStr">
        <is>
          <t>CME Clearing House</t>
        </is>
      </c>
      <c r="J41" s="73" t="n"/>
      <c r="K41" s="73" t="n"/>
      <c r="L41" s="140" t="n">
        <v>26800000</v>
      </c>
      <c r="M41" s="141" t="n"/>
      <c r="N41" s="141" t="n"/>
      <c r="O41" s="76" t="n"/>
      <c r="P41" s="142" t="n"/>
    </row>
    <row r="42" customFormat="1" s="9">
      <c r="A42" s="21" t="n"/>
      <c r="B42" s="21" t="n"/>
      <c r="C42" s="77" t="inlineStr">
        <is>
          <t>Synthetic Alt Beta - Standard Trend</t>
        </is>
      </c>
      <c r="D42" s="73" t="n"/>
      <c r="E42" s="77" t="inlineStr">
        <is>
          <t>JPN YEN CURR FUT  Mar26</t>
        </is>
      </c>
      <c r="F42" s="77" t="n"/>
      <c r="G42" s="77" t="inlineStr">
        <is>
          <t>Currency</t>
        </is>
      </c>
      <c r="H42" s="77" t="inlineStr">
        <is>
          <t>Morgan Stanley</t>
        </is>
      </c>
      <c r="I42" s="77" t="inlineStr">
        <is>
          <t>CME Clearing House</t>
        </is>
      </c>
      <c r="J42" s="73" t="n"/>
      <c r="K42" s="73" t="n"/>
      <c r="L42" s="140" t="n">
        <v>-21200000</v>
      </c>
      <c r="M42" s="141" t="n"/>
      <c r="N42" s="141" t="n"/>
      <c r="O42" s="76" t="n"/>
      <c r="P42" s="142" t="n"/>
    </row>
    <row r="43" customFormat="1" s="9">
      <c r="A43" s="21" t="n"/>
      <c r="B43" s="21" t="n"/>
      <c r="C43" s="77" t="inlineStr">
        <is>
          <t>Synthetic Alt Beta - Standard Trend</t>
        </is>
      </c>
      <c r="D43" s="73" t="n"/>
      <c r="E43" s="77" t="inlineStr">
        <is>
          <t>EURO FX CURR FUT  Mar26</t>
        </is>
      </c>
      <c r="F43" s="77" t="n"/>
      <c r="G43" s="77" t="inlineStr">
        <is>
          <t>Currency</t>
        </is>
      </c>
      <c r="H43" s="77" t="inlineStr">
        <is>
          <t>Morgan Stanley</t>
        </is>
      </c>
      <c r="I43" s="77" t="inlineStr">
        <is>
          <t>CME Clearing House</t>
        </is>
      </c>
      <c r="J43" s="73" t="n"/>
      <c r="K43" s="73" t="n"/>
      <c r="L43" s="140" t="n">
        <v>33100000</v>
      </c>
      <c r="M43" s="141" t="n"/>
      <c r="N43" s="141" t="n"/>
      <c r="O43" s="76" t="n"/>
      <c r="P43" s="142" t="n"/>
    </row>
    <row r="44" customFormat="1" s="9">
      <c r="A44" s="21" t="n"/>
      <c r="B44" s="21" t="n"/>
      <c r="C44" s="77" t="inlineStr">
        <is>
          <t>Synthetic Alt Beta - Standard Trend</t>
        </is>
      </c>
      <c r="D44" s="73" t="n"/>
      <c r="E44" s="77" t="inlineStr">
        <is>
          <t>BP CURRENCY FUT   Mar26</t>
        </is>
      </c>
      <c r="F44" s="77" t="n"/>
      <c r="G44" s="77" t="inlineStr">
        <is>
          <t>Currency</t>
        </is>
      </c>
      <c r="H44" s="77" t="inlineStr">
        <is>
          <t>Morgan Stanley</t>
        </is>
      </c>
      <c r="I44" s="77" t="inlineStr">
        <is>
          <t>CME Clearing House</t>
        </is>
      </c>
      <c r="J44" s="73" t="n"/>
      <c r="K44" s="73" t="n"/>
      <c r="L44" s="140" t="n">
        <v>-28900000</v>
      </c>
      <c r="M44" s="141" t="n"/>
      <c r="N44" s="141" t="n"/>
      <c r="O44" s="76" t="n"/>
      <c r="P44" s="142" t="n"/>
    </row>
    <row r="45" customFormat="1" s="9">
      <c r="A45" s="21" t="n"/>
      <c r="B45" s="21" t="n"/>
      <c r="C45" s="77" t="inlineStr">
        <is>
          <t>Synthetic Alt Beta - Standard Trend</t>
        </is>
      </c>
      <c r="D45" s="73" t="n"/>
      <c r="E45" s="77" t="inlineStr">
        <is>
          <t>AUDUSD Crncy Fut  Mar26</t>
        </is>
      </c>
      <c r="F45" s="77" t="n"/>
      <c r="G45" s="77" t="inlineStr">
        <is>
          <t>Currency</t>
        </is>
      </c>
      <c r="H45" s="77" t="inlineStr">
        <is>
          <t>Morgan Stanley</t>
        </is>
      </c>
      <c r="I45" s="77" t="inlineStr">
        <is>
          <t>CME Clearing House</t>
        </is>
      </c>
      <c r="J45" s="73" t="n"/>
      <c r="K45" s="73" t="n"/>
      <c r="L45" s="140" t="n">
        <v>26900000</v>
      </c>
      <c r="M45" s="141" t="n"/>
      <c r="N45" s="141" t="n"/>
      <c r="O45" s="76" t="n"/>
      <c r="P45" s="142" t="n"/>
    </row>
    <row r="46" customFormat="1" s="9">
      <c r="A46" s="21" t="n"/>
      <c r="B46" s="21" t="n"/>
      <c r="C46" s="77" t="inlineStr">
        <is>
          <t>Synthetic Alt Beta - Standard Trend</t>
        </is>
      </c>
      <c r="D46" s="73" t="n"/>
      <c r="E46" s="77" t="inlineStr">
        <is>
          <t>C$ CURRENCY FUT   Mar26</t>
        </is>
      </c>
      <c r="F46" s="77" t="n"/>
      <c r="G46" s="77" t="inlineStr">
        <is>
          <t>Currency</t>
        </is>
      </c>
      <c r="H46" s="77" t="inlineStr">
        <is>
          <t>Morgan Stanley</t>
        </is>
      </c>
      <c r="I46" s="77" t="inlineStr">
        <is>
          <t>CME Clearing House</t>
        </is>
      </c>
      <c r="J46" s="73" t="n"/>
      <c r="K46" s="73" t="n"/>
      <c r="L46" s="140" t="n">
        <v>-47700000</v>
      </c>
      <c r="M46" s="141" t="n"/>
      <c r="N46" s="141" t="n"/>
      <c r="O46" s="76" t="n"/>
      <c r="P46" s="142" t="n"/>
    </row>
    <row r="47" customFormat="1" s="9">
      <c r="A47" s="21" t="n"/>
      <c r="B47" s="21" t="n"/>
      <c r="C47" s="77" t="inlineStr">
        <is>
          <t>Synthetic Alt Beta - Standard Trend</t>
        </is>
      </c>
      <c r="D47" s="73" t="n"/>
      <c r="E47" s="77" t="inlineStr">
        <is>
          <t>COFFEE 'C' FUTURE Mar26</t>
        </is>
      </c>
      <c r="F47" s="77" t="n"/>
      <c r="G47" s="77" t="inlineStr">
        <is>
          <t>Commodity</t>
        </is>
      </c>
      <c r="H47" s="77" t="inlineStr">
        <is>
          <t>Morgan Stanley</t>
        </is>
      </c>
      <c r="I47" s="77" t="inlineStr">
        <is>
          <t>ICE Clear U.S.</t>
        </is>
      </c>
      <c r="J47" s="73" t="n"/>
      <c r="K47" s="73" t="n"/>
      <c r="L47" s="140" t="n">
        <v>2400000</v>
      </c>
      <c r="M47" s="141" t="n"/>
      <c r="N47" s="141" t="n"/>
      <c r="O47" s="76" t="n"/>
      <c r="P47" s="142" t="n"/>
    </row>
    <row r="48" customFormat="1" s="9">
      <c r="A48" s="21" t="n"/>
      <c r="B48" s="21" t="n"/>
      <c r="C48" s="77" t="inlineStr">
        <is>
          <t>Synthetic Alt Beta - Standard Trend</t>
        </is>
      </c>
      <c r="D48" s="73" t="n"/>
      <c r="E48" s="77" t="inlineStr">
        <is>
          <t>EURO STOXX 50     Mar26</t>
        </is>
      </c>
      <c r="F48" s="77" t="n"/>
      <c r="G48" s="77" t="inlineStr">
        <is>
          <t>Equity</t>
        </is>
      </c>
      <c r="H48" s="77" t="inlineStr">
        <is>
          <t>Morgan Stanley</t>
        </is>
      </c>
      <c r="I48" s="77" t="inlineStr">
        <is>
          <t>EUREX Clearing</t>
        </is>
      </c>
      <c r="J48" s="73" t="n"/>
      <c r="K48" s="73" t="n"/>
      <c r="L48" s="140" t="n">
        <v>14500000</v>
      </c>
      <c r="M48" s="141" t="n"/>
      <c r="N48" s="141" t="n"/>
      <c r="O48" s="76" t="n"/>
      <c r="P48" s="142" t="n"/>
    </row>
    <row r="49" customFormat="1" s="9">
      <c r="A49" s="21" t="n"/>
      <c r="B49" s="21" t="n"/>
      <c r="C49" s="77" t="inlineStr">
        <is>
          <t>Synthetic Alt Beta - Standard Trend</t>
        </is>
      </c>
      <c r="D49" s="73" t="n"/>
      <c r="E49" s="77" t="inlineStr">
        <is>
          <t>US LONG BOND(CBT) Mar26</t>
        </is>
      </c>
      <c r="F49" s="77" t="n"/>
      <c r="G49" s="77" t="inlineStr">
        <is>
          <t>Treasury</t>
        </is>
      </c>
      <c r="H49" s="77" t="inlineStr">
        <is>
          <t>Morgan Stanley</t>
        </is>
      </c>
      <c r="I49" s="77" t="inlineStr">
        <is>
          <t>CME Clearing House</t>
        </is>
      </c>
      <c r="J49" s="73" t="n"/>
      <c r="K49" s="73" t="n"/>
      <c r="L49" s="140" t="n">
        <v>25400000</v>
      </c>
      <c r="M49" s="141" t="n"/>
      <c r="N49" s="141" t="n"/>
      <c r="O49" s="76" t="n"/>
      <c r="P49" s="142" t="n"/>
    </row>
    <row r="50" customFormat="1" s="9">
      <c r="A50" s="21" t="n"/>
      <c r="B50" s="21" t="n"/>
      <c r="C50" s="77" t="inlineStr">
        <is>
          <t>Synthetic Alt Beta - Standard Trend</t>
        </is>
      </c>
      <c r="D50" s="73" t="n"/>
      <c r="E50" s="77" t="inlineStr">
        <is>
          <t>US 10YR NOTE (CBT)Mar26</t>
        </is>
      </c>
      <c r="F50" s="77" t="n"/>
      <c r="G50" s="77" t="inlineStr">
        <is>
          <t>Treasury</t>
        </is>
      </c>
      <c r="H50" s="77" t="inlineStr">
        <is>
          <t>Morgan Stanley</t>
        </is>
      </c>
      <c r="I50" s="77" t="inlineStr">
        <is>
          <t>CME Clearing House</t>
        </is>
      </c>
      <c r="J50" s="73" t="n"/>
      <c r="K50" s="73" t="n"/>
      <c r="L50" s="140" t="n">
        <v>49500000</v>
      </c>
      <c r="M50" s="141" t="n"/>
      <c r="N50" s="141" t="n"/>
      <c r="O50" s="76" t="n"/>
      <c r="P50" s="142" t="n"/>
    </row>
    <row r="51" customFormat="1" s="9">
      <c r="A51" s="21" t="n"/>
      <c r="B51" s="21" t="n"/>
      <c r="C51" s="77" t="inlineStr">
        <is>
          <t>Synthetic Alt Beta - Standard Trend</t>
        </is>
      </c>
      <c r="D51" s="73" t="n"/>
      <c r="E51" s="77" t="inlineStr">
        <is>
          <t>NASDAQ 100 E-MINI Mar26</t>
        </is>
      </c>
      <c r="F51" s="77" t="n"/>
      <c r="G51" s="77" t="inlineStr">
        <is>
          <t>Equity</t>
        </is>
      </c>
      <c r="H51" s="77" t="inlineStr">
        <is>
          <t>Morgan Stanley</t>
        </is>
      </c>
      <c r="I51" s="77" t="inlineStr">
        <is>
          <t>CME Clearing House</t>
        </is>
      </c>
      <c r="J51" s="73" t="n"/>
      <c r="K51" s="73" t="n"/>
      <c r="L51" s="140" t="n">
        <v>10700000</v>
      </c>
      <c r="M51" s="141" t="n"/>
      <c r="N51" s="141" t="n"/>
      <c r="O51" s="76" t="n"/>
      <c r="P51" s="142" t="n"/>
    </row>
    <row r="52" customFormat="1" s="9">
      <c r="A52" s="21" t="n"/>
      <c r="B52" s="21" t="n"/>
      <c r="C52" s="77" t="inlineStr">
        <is>
          <t>Synthetic Alt Beta - Standard Trend</t>
        </is>
      </c>
      <c r="D52" s="73" t="n"/>
      <c r="E52" s="77" t="inlineStr">
        <is>
          <t>DAX INDEX FUTURE  Mar26</t>
        </is>
      </c>
      <c r="F52" s="77" t="n"/>
      <c r="G52" s="77" t="inlineStr">
        <is>
          <t>Equity</t>
        </is>
      </c>
      <c r="H52" s="77" t="inlineStr">
        <is>
          <t>Morgan Stanley</t>
        </is>
      </c>
      <c r="I52" s="77" t="inlineStr">
        <is>
          <t>EUREX Clearing</t>
        </is>
      </c>
      <c r="J52" s="73" t="n"/>
      <c r="K52" s="73" t="n"/>
      <c r="L52" s="140" t="n">
        <v>13800000</v>
      </c>
      <c r="M52" s="141" t="n"/>
      <c r="N52" s="141" t="n"/>
      <c r="O52" s="76" t="n"/>
      <c r="P52" s="142" t="n"/>
    </row>
    <row r="53" customFormat="1" s="9">
      <c r="A53" s="21" t="n"/>
      <c r="B53" s="21" t="n"/>
      <c r="C53" s="77" t="inlineStr">
        <is>
          <t>Synthetic Alt Beta - Standard Trend</t>
        </is>
      </c>
      <c r="D53" s="73" t="n"/>
      <c r="E53" s="77" t="inlineStr">
        <is>
          <t>S&amp;P500 EMINI FUT  Mar26</t>
        </is>
      </c>
      <c r="F53" s="77" t="n"/>
      <c r="G53" s="77" t="inlineStr">
        <is>
          <t>Equity</t>
        </is>
      </c>
      <c r="H53" s="77" t="inlineStr">
        <is>
          <t>Morgan Stanley</t>
        </is>
      </c>
      <c r="I53" s="77" t="inlineStr">
        <is>
          <t>CME Clearing House</t>
        </is>
      </c>
      <c r="J53" s="73" t="n"/>
      <c r="K53" s="73" t="n"/>
      <c r="L53" s="140" t="n">
        <v>15200000</v>
      </c>
      <c r="M53" s="141" t="n"/>
      <c r="N53" s="141" t="n"/>
      <c r="O53" s="76" t="n"/>
      <c r="P53" s="142" t="n"/>
    </row>
    <row r="54" customFormat="1" s="9">
      <c r="A54" s="21" t="n"/>
      <c r="B54" s="21" t="n"/>
      <c r="C54" s="77" t="inlineStr">
        <is>
          <t>Synthetic Alt Beta - Standard Trend</t>
        </is>
      </c>
      <c r="D54" s="73" t="n"/>
      <c r="E54" s="77" t="inlineStr">
        <is>
          <t>SILVER FUTURE     Mar26</t>
        </is>
      </c>
      <c r="F54" s="77" t="n"/>
      <c r="G54" s="77" t="inlineStr">
        <is>
          <t>Commodity</t>
        </is>
      </c>
      <c r="H54" s="77" t="inlineStr">
        <is>
          <t>Morgan Stanley</t>
        </is>
      </c>
      <c r="I54" s="77" t="inlineStr">
        <is>
          <t>CME Clearing House</t>
        </is>
      </c>
      <c r="J54" s="73" t="n"/>
      <c r="K54" s="73" t="n"/>
      <c r="L54" s="140" t="n">
        <v>3900000</v>
      </c>
      <c r="M54" s="141" t="n"/>
      <c r="N54" s="141" t="n"/>
      <c r="O54" s="76" t="n"/>
      <c r="P54" s="142" t="n"/>
    </row>
    <row r="55" customFormat="1" s="9">
      <c r="A55" s="21" t="n"/>
      <c r="B55" s="21" t="n"/>
      <c r="C55" s="77" t="inlineStr">
        <is>
          <t>Synthetic Alt Beta - Standard Trend</t>
        </is>
      </c>
      <c r="D55" s="73" t="n"/>
      <c r="E55" s="77" t="inlineStr">
        <is>
          <t>COPPER FUTURE     Mar26</t>
        </is>
      </c>
      <c r="F55" s="77" t="n"/>
      <c r="G55" s="77" t="inlineStr">
        <is>
          <t>Commodity</t>
        </is>
      </c>
      <c r="H55" s="77" t="inlineStr">
        <is>
          <t>Morgan Stanley</t>
        </is>
      </c>
      <c r="I55" s="77" t="inlineStr">
        <is>
          <t>CME Clearing House</t>
        </is>
      </c>
      <c r="J55" s="73" t="n"/>
      <c r="K55" s="73" t="n"/>
      <c r="L55" s="140" t="n">
        <v>5000000</v>
      </c>
      <c r="M55" s="141" t="n"/>
      <c r="N55" s="141" t="n"/>
      <c r="O55" s="76" t="n"/>
      <c r="P55" s="142" t="n"/>
    </row>
    <row r="56" customFormat="1" s="9">
      <c r="A56" s="21" t="n"/>
      <c r="B56" s="21" t="n"/>
      <c r="C56" s="77" t="inlineStr">
        <is>
          <t>Synthetic Alt Beta - Standard Trend</t>
        </is>
      </c>
      <c r="D56" s="73" t="n"/>
      <c r="E56" s="77" t="inlineStr">
        <is>
          <t>US 5YR NOTE (CBT) Mar26</t>
        </is>
      </c>
      <c r="F56" s="77" t="n"/>
      <c r="G56" s="77" t="inlineStr">
        <is>
          <t>Treasury</t>
        </is>
      </c>
      <c r="H56" s="77" t="inlineStr">
        <is>
          <t>Morgan Stanley</t>
        </is>
      </c>
      <c r="I56" s="77" t="inlineStr">
        <is>
          <t>CME Clearing House</t>
        </is>
      </c>
      <c r="J56" s="73" t="n"/>
      <c r="K56" s="73" t="n"/>
      <c r="L56" s="140" t="n">
        <v>75400000</v>
      </c>
      <c r="M56" s="141" t="n"/>
      <c r="N56" s="141" t="n"/>
      <c r="O56" s="76" t="n"/>
      <c r="P56" s="142" t="n"/>
    </row>
    <row r="57" customFormat="1" s="9">
      <c r="A57" s="21" t="n"/>
      <c r="B57" s="21" t="n"/>
      <c r="C57" s="77" t="inlineStr">
        <is>
          <t>Synthetic Alt Beta - Standard Trend</t>
        </is>
      </c>
      <c r="D57" s="73" t="n"/>
      <c r="E57" s="77" t="inlineStr">
        <is>
          <t>KOSPI2 INX FUT    Mar26</t>
        </is>
      </c>
      <c r="F57" s="77" t="n"/>
      <c r="G57" s="77" t="inlineStr">
        <is>
          <t>Equity</t>
        </is>
      </c>
      <c r="H57" s="77" t="inlineStr">
        <is>
          <t>Morgan Stanley</t>
        </is>
      </c>
      <c r="I57" s="77" t="inlineStr">
        <is>
          <t>Korea Exchange (in-house)</t>
        </is>
      </c>
      <c r="J57" s="73" t="n"/>
      <c r="K57" s="73" t="n"/>
      <c r="L57" s="140" t="n">
        <v>7200000</v>
      </c>
      <c r="M57" s="141" t="n"/>
      <c r="N57" s="141" t="n"/>
      <c r="O57" s="76" t="n"/>
      <c r="P57" s="142" t="n"/>
    </row>
    <row r="58" customFormat="1" s="9">
      <c r="A58" s="21" t="n"/>
      <c r="B58" s="21" t="n"/>
      <c r="C58" s="79" t="n"/>
      <c r="D58" s="54" t="n"/>
      <c r="E58" s="79" t="n"/>
      <c r="F58" s="79" t="n"/>
      <c r="G58" s="79" t="n"/>
      <c r="H58" s="79" t="n"/>
      <c r="I58" s="79" t="n"/>
      <c r="J58" s="54" t="n"/>
      <c r="K58" s="54" t="n"/>
      <c r="L58" s="143" t="n"/>
      <c r="M58" s="144" t="n"/>
      <c r="N58" s="144" t="n"/>
      <c r="O58" s="76" t="n"/>
      <c r="P58" s="142" t="n"/>
    </row>
    <row r="59" customFormat="1" s="9">
      <c r="A59" s="21" t="n"/>
      <c r="B59" s="21" t="n"/>
      <c r="C59" s="71" t="inlineStr">
        <is>
          <t>Risk exclusive of the Trend positions.</t>
        </is>
      </c>
      <c r="D59" s="54" t="n"/>
      <c r="E59" s="79" t="n"/>
      <c r="F59" s="79" t="n"/>
      <c r="G59" s="79" t="n"/>
      <c r="H59" s="79" t="n"/>
      <c r="I59" s="79" t="n"/>
      <c r="J59" s="54" t="n"/>
      <c r="K59" s="54" t="n"/>
      <c r="L59" s="143" t="n"/>
      <c r="M59" s="144" t="n"/>
      <c r="N59" s="144" t="n"/>
      <c r="O59" s="76" t="n"/>
      <c r="P59" s="142" t="n"/>
    </row>
    <row r="60" customFormat="1" s="9">
      <c r="A60" s="21" t="n"/>
      <c r="B60" s="21" t="n"/>
      <c r="C60" s="79" t="n"/>
      <c r="D60" s="54" t="n"/>
      <c r="E60" s="79" t="n"/>
      <c r="F60" s="79" t="n"/>
      <c r="G60" s="79" t="n"/>
      <c r="H60" s="79" t="n"/>
      <c r="I60" s="79" t="n"/>
      <c r="J60" s="54" t="n"/>
      <c r="K60" s="54" t="n"/>
      <c r="L60" s="143" t="n"/>
      <c r="M60" s="144" t="n"/>
      <c r="N60" s="144" t="n"/>
      <c r="O60" s="76" t="n"/>
      <c r="P60" s="142" t="n"/>
    </row>
    <row r="61" customFormat="1" s="9">
      <c r="A61" s="21" t="n"/>
      <c r="B61" s="21" t="n"/>
      <c r="C61" s="79" t="n"/>
      <c r="D61" s="54" t="n"/>
      <c r="E61" s="79" t="n"/>
      <c r="F61" s="79" t="n"/>
      <c r="G61" s="79" t="n"/>
      <c r="H61" s="79" t="n"/>
      <c r="I61" s="79" t="n"/>
      <c r="J61" s="54" t="n"/>
      <c r="K61" s="54" t="n"/>
      <c r="L61" s="143" t="n"/>
      <c r="M61" s="144" t="n"/>
      <c r="N61" s="144" t="n"/>
      <c r="O61" s="76" t="n"/>
      <c r="P61" s="142" t="n"/>
    </row>
    <row r="62" customFormat="1" s="9">
      <c r="A62" s="21" t="n"/>
      <c r="B62" s="21" t="n"/>
      <c r="C62" s="83" t="n"/>
      <c r="D62" s="21" t="n"/>
      <c r="E62" s="83" t="n"/>
      <c r="F62" s="83" t="n"/>
      <c r="G62" s="83" t="n"/>
      <c r="H62" s="83" t="n"/>
      <c r="I62" s="83" t="n"/>
      <c r="J62" s="54" t="n"/>
      <c r="K62" s="21" t="n"/>
      <c r="L62" s="145" t="n"/>
      <c r="M62" s="146" t="n"/>
      <c r="N62" s="146" t="n"/>
      <c r="O62" s="55" t="n"/>
      <c r="P62" s="142" t="n"/>
    </row>
    <row r="63" customFormat="1" s="9">
      <c r="A63" s="21" t="n"/>
      <c r="B63" s="21" t="n"/>
      <c r="C63" s="83" t="n"/>
      <c r="D63" s="21" t="n"/>
      <c r="E63" s="83" t="n"/>
      <c r="F63" s="83" t="n"/>
      <c r="G63" s="83" t="n"/>
      <c r="H63" s="83" t="n"/>
      <c r="I63" s="83" t="n"/>
      <c r="J63" s="54" t="n"/>
      <c r="K63" s="21" t="n"/>
      <c r="L63" s="145" t="n"/>
      <c r="M63" s="146" t="n"/>
      <c r="N63" s="146" t="n"/>
      <c r="O63" s="55" t="n"/>
      <c r="P63" s="142" t="n"/>
    </row>
    <row r="64" customFormat="1" s="9">
      <c r="A64" s="21" t="n"/>
      <c r="B64" s="21" t="n"/>
      <c r="C64" s="83" t="n"/>
      <c r="D64" s="21" t="n"/>
      <c r="E64" s="83" t="n"/>
      <c r="F64" s="83" t="n"/>
      <c r="G64" s="83" t="n"/>
      <c r="H64" s="83" t="n"/>
      <c r="I64" s="83" t="n"/>
      <c r="J64" s="54" t="n"/>
      <c r="K64" s="21" t="n"/>
      <c r="L64" s="145" t="n"/>
      <c r="M64" s="146" t="n"/>
      <c r="N64" s="146" t="n"/>
      <c r="O64" s="21" t="n"/>
      <c r="P64" s="142" t="n"/>
    </row>
    <row r="65" customFormat="1" s="9">
      <c r="A65" s="21" t="n"/>
      <c r="B65" s="21" t="n"/>
      <c r="C65" s="83" t="n"/>
      <c r="D65" s="21" t="n"/>
      <c r="E65" s="83" t="n"/>
      <c r="F65" s="83" t="n"/>
      <c r="G65" s="83" t="n"/>
      <c r="H65" s="83" t="n"/>
      <c r="I65" s="83" t="n"/>
      <c r="J65" s="54" t="n"/>
      <c r="K65" s="21" t="n"/>
      <c r="L65" s="145" t="n"/>
      <c r="M65" s="146" t="n"/>
      <c r="N65" s="146" t="n"/>
      <c r="O65" s="21" t="n"/>
      <c r="P65" s="142" t="n"/>
    </row>
    <row r="66" customFormat="1" s="9">
      <c r="A66" s="21" t="n"/>
      <c r="B66" s="21" t="n"/>
      <c r="C66" s="83" t="n"/>
      <c r="D66" s="21" t="n"/>
      <c r="E66" s="83" t="n"/>
      <c r="F66" s="83" t="n"/>
      <c r="G66" s="83" t="n"/>
      <c r="H66" s="83" t="n"/>
      <c r="I66" s="83" t="n"/>
      <c r="J66" s="54" t="n"/>
      <c r="K66" s="21" t="n"/>
      <c r="L66" s="145" t="n"/>
      <c r="M66" s="146" t="n"/>
      <c r="N66" s="146" t="n"/>
      <c r="O66" s="21" t="n"/>
      <c r="P66" s="142" t="n"/>
    </row>
    <row r="67" customFormat="1" s="9">
      <c r="A67" s="21" t="n"/>
      <c r="B67" s="21" t="n"/>
      <c r="C67" s="83" t="n"/>
      <c r="D67" s="21" t="n"/>
      <c r="E67" s="83" t="n"/>
      <c r="F67" s="83" t="n"/>
      <c r="G67" s="83" t="n"/>
      <c r="H67" s="83" t="n"/>
      <c r="I67" s="83" t="n"/>
      <c r="J67" s="54" t="n"/>
      <c r="K67" s="21" t="n"/>
      <c r="L67" s="145" t="n"/>
      <c r="M67" s="146" t="n"/>
      <c r="N67" s="146" t="n"/>
      <c r="O67" s="21" t="n"/>
      <c r="P67" s="142" t="n"/>
    </row>
    <row r="68" customFormat="1" s="9">
      <c r="A68" s="21" t="n"/>
      <c r="B68" s="21" t="n"/>
      <c r="C68" s="83" t="n"/>
      <c r="D68" s="21" t="n"/>
      <c r="E68" s="83" t="n"/>
      <c r="F68" s="83" t="n"/>
      <c r="G68" s="83" t="n"/>
      <c r="H68" s="83" t="n"/>
      <c r="I68" s="83" t="n"/>
      <c r="J68" s="54" t="n"/>
      <c r="K68" s="21" t="n"/>
      <c r="L68" s="145" t="n"/>
      <c r="M68" s="146" t="n"/>
      <c r="N68" s="146" t="n"/>
      <c r="O68" s="21" t="n"/>
      <c r="P68" s="142" t="n"/>
    </row>
    <row r="69" customFormat="1" s="9">
      <c r="A69" s="21" t="n"/>
      <c r="B69" s="21" t="n"/>
      <c r="C69" s="83" t="n"/>
      <c r="D69" s="21" t="n"/>
      <c r="E69" s="83" t="n"/>
      <c r="F69" s="83" t="n"/>
      <c r="G69" s="83" t="n"/>
      <c r="H69" s="83" t="n"/>
      <c r="I69" s="83" t="n"/>
      <c r="J69" s="54" t="n"/>
      <c r="K69" s="21" t="n"/>
      <c r="L69" s="145" t="n"/>
      <c r="M69" s="146" t="n"/>
      <c r="N69" s="146" t="n"/>
      <c r="O69" s="21" t="n"/>
      <c r="P69" s="54" t="n"/>
    </row>
    <row r="70" customFormat="1" s="9">
      <c r="A70" s="21" t="n"/>
      <c r="B70" s="21" t="n"/>
      <c r="C70" s="83" t="n"/>
      <c r="D70" s="21" t="n"/>
      <c r="E70" s="83" t="n"/>
      <c r="F70" s="83" t="n"/>
      <c r="G70" s="83" t="n"/>
      <c r="H70" s="83" t="n"/>
      <c r="I70" s="83" t="n"/>
      <c r="J70" s="54" t="n"/>
      <c r="K70" s="21" t="n"/>
      <c r="L70" s="145" t="n"/>
      <c r="M70" s="146" t="n"/>
      <c r="N70" s="146" t="n"/>
      <c r="O70" s="21" t="n"/>
      <c r="P70" s="54" t="n"/>
    </row>
    <row r="71" customFormat="1" s="9">
      <c r="A71" s="21" t="n"/>
      <c r="B71" s="21" t="n"/>
      <c r="C71" s="83" t="n"/>
      <c r="D71" s="21" t="n"/>
      <c r="E71" s="83" t="n"/>
      <c r="F71" s="83" t="n"/>
      <c r="G71" s="83" t="n"/>
      <c r="H71" s="83" t="n"/>
      <c r="I71" s="83" t="n"/>
      <c r="J71" s="54" t="n"/>
      <c r="K71" s="21" t="n"/>
      <c r="L71" s="145" t="n"/>
      <c r="M71" s="146" t="n"/>
      <c r="N71" s="146" t="n"/>
      <c r="O71" s="21" t="n"/>
      <c r="P71" s="54" t="n"/>
    </row>
    <row r="72" customFormat="1" s="9">
      <c r="A72" s="21" t="n"/>
      <c r="B72" s="21" t="n"/>
      <c r="C72" s="83" t="n"/>
      <c r="D72" s="21" t="n"/>
      <c r="E72" s="83" t="n"/>
      <c r="F72" s="83" t="n"/>
      <c r="G72" s="83" t="n"/>
      <c r="H72" s="83" t="n"/>
      <c r="I72" s="83" t="n"/>
      <c r="J72" s="54" t="n"/>
      <c r="K72" s="21" t="n"/>
      <c r="L72" s="145" t="n"/>
      <c r="M72" s="146" t="n"/>
      <c r="N72" s="146" t="n"/>
      <c r="O72" s="21" t="n"/>
      <c r="P72" s="54" t="n"/>
    </row>
    <row r="73" customFormat="1" s="9">
      <c r="A73" s="21" t="n"/>
      <c r="B73" s="21" t="n"/>
      <c r="C73" s="83" t="n"/>
      <c r="D73" s="21" t="n"/>
      <c r="E73" s="83" t="n"/>
      <c r="F73" s="83" t="n"/>
      <c r="G73" s="83" t="n"/>
      <c r="H73" s="83" t="n"/>
      <c r="I73" s="83" t="n"/>
      <c r="J73" s="54" t="n"/>
      <c r="K73" s="21" t="n"/>
      <c r="L73" s="145" t="n"/>
      <c r="M73" s="146" t="n"/>
      <c r="N73" s="146" t="n"/>
      <c r="O73" s="21" t="n"/>
      <c r="P73" s="54" t="n"/>
    </row>
    <row r="74" customFormat="1" s="9">
      <c r="A74" s="21" t="n"/>
      <c r="B74" s="21" t="n"/>
      <c r="C74" s="83" t="n"/>
      <c r="D74" s="21" t="n"/>
      <c r="E74" s="83" t="n"/>
      <c r="F74" s="83" t="n"/>
      <c r="G74" s="83" t="n"/>
      <c r="H74" s="83" t="n"/>
      <c r="I74" s="83" t="n"/>
      <c r="J74" s="54" t="n"/>
      <c r="K74" s="21" t="n"/>
      <c r="L74" s="145" t="n"/>
      <c r="M74" s="146" t="n"/>
      <c r="N74" s="146" t="n"/>
      <c r="O74" s="21" t="n"/>
      <c r="P74" s="54" t="n"/>
    </row>
    <row r="75" customFormat="1" s="9">
      <c r="A75" s="21" t="n"/>
      <c r="B75" s="21" t="n"/>
      <c r="C75" s="83" t="n"/>
      <c r="D75" s="21" t="n"/>
      <c r="E75" s="83" t="n"/>
      <c r="F75" s="83" t="n"/>
      <c r="G75" s="83" t="n"/>
      <c r="H75" s="83" t="n"/>
      <c r="I75" s="83" t="n"/>
      <c r="J75" s="54" t="n"/>
      <c r="K75" s="21" t="n"/>
      <c r="L75" s="145" t="n"/>
      <c r="M75" s="146" t="n"/>
      <c r="N75" s="146" t="n"/>
      <c r="O75" s="21" t="n"/>
      <c r="P75" s="54" t="n"/>
    </row>
    <row r="76" customFormat="1" s="9">
      <c r="A76" s="21" t="n"/>
      <c r="B76" s="21" t="n"/>
      <c r="C76" s="83" t="n"/>
      <c r="D76" s="21" t="n"/>
      <c r="E76" s="83" t="n"/>
      <c r="F76" s="83" t="n"/>
      <c r="G76" s="83" t="n"/>
      <c r="H76" s="83" t="n"/>
      <c r="I76" s="83" t="n"/>
      <c r="J76" s="54" t="n"/>
      <c r="K76" s="21" t="n"/>
      <c r="L76" s="145" t="n"/>
      <c r="M76" s="146" t="n"/>
      <c r="N76" s="146" t="n"/>
      <c r="O76" s="21" t="n"/>
      <c r="P76" s="54" t="n"/>
    </row>
    <row r="77" customFormat="1" s="9">
      <c r="A77" s="21" t="n"/>
      <c r="B77" s="21" t="n"/>
      <c r="C77" s="83" t="n"/>
      <c r="D77" s="21" t="n"/>
      <c r="E77" s="83" t="n"/>
      <c r="F77" s="83" t="n"/>
      <c r="G77" s="83" t="n"/>
      <c r="H77" s="83" t="n"/>
      <c r="I77" s="83" t="n"/>
      <c r="J77" s="54" t="n"/>
      <c r="K77" s="21" t="n"/>
      <c r="L77" s="145" t="n"/>
      <c r="M77" s="146" t="n"/>
      <c r="N77" s="146" t="n"/>
      <c r="O77" s="21" t="n"/>
      <c r="P77" s="54" t="n"/>
    </row>
    <row r="78" customFormat="1" s="9">
      <c r="A78" s="21" t="n"/>
      <c r="B78" s="21" t="n"/>
      <c r="C78" s="83" t="n"/>
      <c r="D78" s="21" t="n"/>
      <c r="E78" s="83" t="n"/>
      <c r="F78" s="83" t="n"/>
      <c r="G78" s="83" t="n"/>
      <c r="H78" s="83" t="n"/>
      <c r="I78" s="83" t="n"/>
      <c r="J78" s="54" t="n"/>
      <c r="K78" s="21" t="n"/>
      <c r="L78" s="145" t="n"/>
      <c r="M78" s="146" t="n"/>
      <c r="N78" s="146" t="n"/>
      <c r="O78" s="21" t="n"/>
      <c r="P78" s="54" t="n"/>
    </row>
    <row r="79" customFormat="1" s="9">
      <c r="A79" s="21" t="n"/>
      <c r="B79" s="21" t="n"/>
      <c r="C79" s="83" t="n"/>
      <c r="D79" s="21" t="n"/>
      <c r="E79" s="83" t="n"/>
      <c r="F79" s="83" t="n"/>
      <c r="G79" s="83" t="n"/>
      <c r="H79" s="83" t="n"/>
      <c r="I79" s="83" t="n"/>
      <c r="J79" s="54" t="n"/>
      <c r="K79" s="21" t="n"/>
      <c r="L79" s="145" t="n"/>
      <c r="M79" s="146" t="n"/>
      <c r="N79" s="146" t="n"/>
      <c r="O79" s="21" t="n"/>
      <c r="P79" s="54" t="n"/>
    </row>
    <row r="80" customFormat="1" s="9">
      <c r="A80" s="21" t="n"/>
      <c r="B80" s="21" t="n"/>
      <c r="C80" s="83" t="n"/>
      <c r="D80" s="21" t="n"/>
      <c r="E80" s="83" t="n"/>
      <c r="F80" s="83" t="n"/>
      <c r="G80" s="83" t="n"/>
      <c r="H80" s="83" t="n"/>
      <c r="I80" s="83" t="n"/>
      <c r="J80" s="54" t="n"/>
      <c r="K80" s="21" t="n"/>
      <c r="L80" s="145" t="n"/>
      <c r="M80" s="146" t="n"/>
      <c r="N80" s="146" t="n"/>
      <c r="O80" s="21" t="n"/>
      <c r="P80" s="54" t="n"/>
    </row>
    <row r="81" customFormat="1" s="9">
      <c r="A81" s="21" t="n"/>
      <c r="B81" s="21" t="n"/>
      <c r="C81" s="83" t="n"/>
      <c r="D81" s="21" t="n"/>
      <c r="E81" s="83" t="n"/>
      <c r="F81" s="83" t="n"/>
      <c r="G81" s="83" t="n"/>
      <c r="H81" s="83" t="n"/>
      <c r="I81" s="83" t="n"/>
      <c r="J81" s="54" t="n"/>
      <c r="K81" s="21" t="n"/>
      <c r="L81" s="145" t="n"/>
      <c r="M81" s="146" t="n"/>
      <c r="N81" s="146" t="n"/>
      <c r="O81" s="21" t="n"/>
      <c r="P81" s="54" t="n"/>
    </row>
    <row r="82" customFormat="1" s="9">
      <c r="A82" s="21" t="n"/>
      <c r="B82" s="21" t="n"/>
      <c r="C82" s="83" t="n"/>
      <c r="D82" s="21" t="n"/>
      <c r="E82" s="83" t="n"/>
      <c r="F82" s="83" t="n"/>
      <c r="G82" s="83" t="n"/>
      <c r="H82" s="83" t="n"/>
      <c r="I82" s="83" t="n"/>
      <c r="J82" s="54" t="n"/>
      <c r="K82" s="21" t="n"/>
      <c r="L82" s="145" t="n"/>
      <c r="M82" s="146" t="n"/>
      <c r="N82" s="146" t="n"/>
      <c r="O82" s="21" t="n"/>
      <c r="P82" s="54" t="n"/>
    </row>
    <row r="83" customFormat="1" s="9">
      <c r="A83" s="21" t="n"/>
      <c r="B83" s="21" t="n"/>
      <c r="C83" s="83" t="n"/>
      <c r="D83" s="21" t="n"/>
      <c r="E83" s="83" t="n"/>
      <c r="F83" s="83" t="n"/>
      <c r="G83" s="83" t="n"/>
      <c r="H83" s="83" t="n"/>
      <c r="I83" s="83" t="n"/>
      <c r="J83" s="54" t="n"/>
      <c r="K83" s="21" t="n"/>
      <c r="L83" s="145" t="n"/>
      <c r="M83" s="146" t="n"/>
      <c r="N83" s="146" t="n"/>
      <c r="O83" s="21" t="n"/>
      <c r="P83" s="54" t="n"/>
    </row>
    <row r="84" customFormat="1" s="9">
      <c r="A84" s="21" t="n"/>
      <c r="B84" s="21" t="n"/>
      <c r="C84" s="83" t="n"/>
      <c r="D84" s="21" t="n"/>
      <c r="E84" s="83" t="n"/>
      <c r="F84" s="83" t="n"/>
      <c r="G84" s="83" t="n"/>
      <c r="H84" s="83" t="n"/>
      <c r="I84" s="83" t="n"/>
      <c r="J84" s="54" t="n"/>
      <c r="K84" s="21" t="n"/>
      <c r="L84" s="145" t="n"/>
      <c r="M84" s="146" t="n"/>
      <c r="N84" s="146" t="n"/>
      <c r="O84" s="21" t="n"/>
      <c r="P84" s="54" t="n"/>
    </row>
    <row r="85" customFormat="1" s="21"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145" t="n"/>
      <c r="M85" s="21" t="n"/>
      <c r="N85" s="21" t="n"/>
      <c r="P85" s="54" t="n"/>
    </row>
    <row r="86" customFormat="1" s="21"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145" t="n"/>
      <c r="M86" s="21" t="n"/>
      <c r="N86" s="21" t="n"/>
      <c r="P86" s="54" t="n"/>
    </row>
    <row r="87" customFormat="1" s="21"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145" t="n"/>
      <c r="M87" s="21" t="n"/>
      <c r="N87" s="21" t="n"/>
      <c r="P87" s="54" t="n"/>
    </row>
    <row r="88" customFormat="1" s="21"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145" t="n"/>
      <c r="M88" s="21" t="n"/>
      <c r="N88" s="21" t="n"/>
      <c r="P88" s="54" t="n"/>
    </row>
    <row r="89" customFormat="1" s="21"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145" t="n"/>
      <c r="M89" s="21" t="n"/>
      <c r="N89" s="21" t="n"/>
      <c r="P89" s="54" t="n"/>
    </row>
    <row r="90" customFormat="1" s="21"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145" t="n"/>
      <c r="M90" s="21" t="n"/>
      <c r="N90" s="21" t="n"/>
      <c r="P90" s="54" t="n"/>
    </row>
    <row r="91" customFormat="1" s="21"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145" t="n"/>
      <c r="M91" s="21" t="n"/>
      <c r="N91" s="21" t="n"/>
      <c r="P91" s="54" t="n"/>
    </row>
    <row r="92" customFormat="1" s="21"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145" t="n"/>
      <c r="M92" s="21" t="n"/>
      <c r="N92" s="21" t="n"/>
      <c r="P92" s="54" t="n"/>
    </row>
    <row r="93" customFormat="1" s="21"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145" t="n"/>
      <c r="M93" s="21" t="n"/>
      <c r="N93" s="21" t="n"/>
      <c r="P93" s="54" t="n"/>
    </row>
    <row r="94" customFormat="1" s="21"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145" t="n"/>
      <c r="M94" s="21" t="n"/>
      <c r="N94" s="21" t="n"/>
      <c r="P94" s="54" t="n"/>
    </row>
    <row r="95" customFormat="1" s="21"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145" t="n"/>
      <c r="M95" s="21" t="n"/>
      <c r="N95" s="21" t="n"/>
      <c r="P95" s="54" t="n"/>
    </row>
    <row r="96" customFormat="1" s="21"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145" t="n"/>
      <c r="M96" s="21" t="n"/>
      <c r="N96" s="21" t="n"/>
      <c r="P96" s="54" t="n"/>
    </row>
    <row r="97" customFormat="1" s="21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145" t="n"/>
      <c r="M97" s="21" t="n"/>
      <c r="N97" s="21" t="n"/>
      <c r="P97" s="54" t="n"/>
    </row>
    <row r="98" customFormat="1" s="21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145" t="n"/>
      <c r="M98" s="21" t="n"/>
      <c r="N98" s="21" t="n"/>
      <c r="P98" s="54" t="n"/>
    </row>
    <row r="99" customFormat="1" s="21"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145" t="n"/>
      <c r="M99" s="21" t="n"/>
      <c r="N99" s="21" t="n"/>
      <c r="P99" s="54" t="n"/>
    </row>
    <row r="100" customFormat="1" s="21"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145" t="n"/>
      <c r="M100" s="21" t="n"/>
      <c r="N100" s="21" t="n"/>
      <c r="P100" s="54" t="n"/>
    </row>
    <row r="101" customFormat="1" s="21"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145" t="n"/>
      <c r="M101" s="21" t="n"/>
      <c r="N101" s="21" t="n"/>
      <c r="P101" s="54" t="n"/>
    </row>
    <row r="102" customFormat="1" s="21"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145" t="n"/>
      <c r="M102" s="21" t="n"/>
      <c r="N102" s="21" t="n"/>
      <c r="P102" s="54" t="n"/>
    </row>
    <row r="103" customFormat="1" s="21"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145" t="n"/>
      <c r="M103" s="21" t="n"/>
      <c r="N103" s="21" t="n"/>
      <c r="P103" s="54" t="n"/>
    </row>
    <row r="104" customFormat="1" s="21"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145" t="n"/>
      <c r="M104" s="21" t="n"/>
      <c r="N104" s="21" t="n"/>
      <c r="P104" s="54" t="n"/>
    </row>
    <row r="105" customFormat="1" s="21"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145" t="n"/>
      <c r="M105" s="21" t="n"/>
      <c r="N105" s="21" t="n"/>
      <c r="P105" s="54" t="n"/>
    </row>
    <row r="106" customFormat="1" s="21"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145" t="n"/>
      <c r="M106" s="21" t="n"/>
      <c r="N106" s="21" t="n"/>
      <c r="P106" s="54" t="n"/>
    </row>
    <row r="107" customFormat="1" s="21"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145" t="n"/>
      <c r="M107" s="21" t="n"/>
      <c r="N107" s="21" t="n"/>
      <c r="P107" s="54" t="n"/>
    </row>
    <row r="108" customFormat="1" s="21"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145" t="n"/>
      <c r="M108" s="21" t="n"/>
      <c r="N108" s="21" t="n"/>
      <c r="P108" s="54" t="n"/>
    </row>
    <row r="109" customFormat="1" s="21"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145" t="n"/>
      <c r="M109" s="21" t="n"/>
      <c r="N109" s="21" t="n"/>
      <c r="P109" s="54" t="n"/>
    </row>
    <row r="110" customFormat="1" s="21"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145" t="n"/>
      <c r="M110" s="21" t="n"/>
      <c r="N110" s="21" t="n"/>
      <c r="P110" s="54" t="n"/>
    </row>
    <row r="111" customFormat="1" s="21"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145" t="n"/>
      <c r="M111" s="21" t="n"/>
      <c r="N111" s="21" t="n"/>
      <c r="P111" s="54" t="n"/>
    </row>
    <row r="112" customFormat="1" s="21"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145" t="n"/>
      <c r="M112" s="21" t="n"/>
      <c r="N112" s="21" t="n"/>
      <c r="P112" s="54" t="n"/>
    </row>
    <row r="113" customFormat="1" s="21"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145" t="n"/>
      <c r="M113" s="21" t="n"/>
      <c r="N113" s="21" t="n"/>
      <c r="P113" s="54" t="n"/>
    </row>
    <row r="114" customFormat="1" s="21"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145" t="n"/>
      <c r="M114" s="21" t="n"/>
      <c r="N114" s="21" t="n"/>
      <c r="P114" s="54" t="n"/>
    </row>
    <row r="115" customFormat="1" s="21"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145" t="n"/>
      <c r="M115" s="21" t="n"/>
      <c r="N115" s="21" t="n"/>
      <c r="P115" s="54" t="n"/>
    </row>
    <row r="116" customFormat="1" s="21"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145" t="n"/>
      <c r="M116" s="21" t="n"/>
      <c r="N116" s="21" t="n"/>
      <c r="P116" s="54" t="n"/>
    </row>
    <row r="117" customFormat="1" s="21"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145" t="n"/>
      <c r="M117" s="21" t="n"/>
      <c r="N117" s="21" t="n"/>
      <c r="P117" s="54" t="n"/>
    </row>
    <row r="118" customFormat="1" s="21"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145" t="n"/>
      <c r="M118" s="21" t="n"/>
      <c r="N118" s="21" t="n"/>
      <c r="P118" s="54" t="n"/>
    </row>
    <row r="119" customFormat="1" s="21"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145" t="n"/>
      <c r="M119" s="21" t="n"/>
      <c r="N119" s="21" t="n"/>
      <c r="P119" s="54" t="n"/>
    </row>
    <row r="120" customFormat="1" s="21"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145" t="n"/>
      <c r="M120" s="21" t="n"/>
      <c r="N120" s="21" t="n"/>
      <c r="P120" s="54" t="n"/>
    </row>
    <row r="121" customFormat="1" s="21"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145" t="n"/>
      <c r="M121" s="21" t="n"/>
      <c r="N121" s="21" t="n"/>
      <c r="P121" s="54" t="n"/>
    </row>
    <row r="122" customFormat="1" s="21"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145" t="n"/>
      <c r="M122" s="21" t="n"/>
      <c r="N122" s="21" t="n"/>
      <c r="P122" s="54" t="n"/>
    </row>
    <row r="123" customFormat="1" s="21"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145" t="n"/>
      <c r="M123" s="21" t="n"/>
      <c r="N123" s="21" t="n"/>
      <c r="P123" s="54" t="n"/>
    </row>
    <row r="124" customFormat="1" s="21"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145" t="n"/>
      <c r="M124" s="21" t="n"/>
      <c r="N124" s="21" t="n"/>
      <c r="P124" s="54" t="n"/>
    </row>
    <row r="125" customFormat="1" s="21"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145" t="n"/>
      <c r="M125" s="21" t="n"/>
      <c r="N125" s="21" t="n"/>
      <c r="P125" s="54" t="n"/>
    </row>
    <row r="126" customFormat="1" s="21"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145" t="n"/>
      <c r="M126" s="21" t="n"/>
      <c r="N126" s="21" t="n"/>
      <c r="P126" s="54" t="n"/>
    </row>
    <row r="127" customFormat="1" s="21"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145" t="n"/>
      <c r="M127" s="21" t="n"/>
      <c r="N127" s="21" t="n"/>
      <c r="P127" s="54" t="n"/>
    </row>
    <row r="128" customFormat="1" s="21"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145" t="n"/>
      <c r="M128" s="21" t="n"/>
      <c r="N128" s="21" t="n"/>
      <c r="P128" s="54" t="n"/>
    </row>
    <row r="129" customFormat="1" s="21"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145" t="n"/>
      <c r="M129" s="21" t="n"/>
      <c r="N129" s="21" t="n"/>
      <c r="P129" s="54" t="n"/>
    </row>
    <row r="130" customFormat="1" s="21"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145" t="n"/>
      <c r="M130" s="21" t="n"/>
      <c r="N130" s="21" t="n"/>
      <c r="P130" s="54" t="n"/>
    </row>
    <row r="131" customFormat="1" s="21"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145" t="n"/>
      <c r="M131" s="21" t="n"/>
      <c r="N131" s="21" t="n"/>
      <c r="P131" s="54" t="n"/>
    </row>
    <row r="132" customFormat="1" s="21"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145" t="n"/>
      <c r="M132" s="21" t="n"/>
      <c r="N132" s="21" t="n"/>
      <c r="P132" s="54" t="n"/>
    </row>
    <row r="133" customFormat="1" s="21"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145" t="n"/>
      <c r="M133" s="21" t="n"/>
      <c r="N133" s="21" t="n"/>
      <c r="P133" s="54" t="n"/>
    </row>
    <row r="134" customFormat="1" s="21"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145" t="n"/>
      <c r="M134" s="21" t="n"/>
      <c r="N134" s="21" t="n"/>
      <c r="P134" s="54" t="n"/>
    </row>
    <row r="135" customFormat="1" s="21"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145" t="n"/>
      <c r="M135" s="21" t="n"/>
      <c r="N135" s="21" t="n"/>
      <c r="P135" s="54" t="n"/>
    </row>
    <row r="136" customFormat="1" s="21"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145" t="n"/>
      <c r="M136" s="21" t="n"/>
      <c r="N136" s="21" t="n"/>
      <c r="P136" s="54" t="n"/>
    </row>
    <row r="137" customFormat="1" s="21"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145" t="n"/>
      <c r="M137" s="21" t="n"/>
      <c r="N137" s="21" t="n"/>
      <c r="P137" s="54" t="n"/>
    </row>
  </sheetData>
  <mergeCells count="4">
    <mergeCell ref="N5:O5"/>
    <mergeCell ref="B11:B20"/>
    <mergeCell ref="N4:O4"/>
    <mergeCell ref="C5:C6"/>
  </mergeCells>
  <pageMargins left="0.25" right="0.25" top="0.75" bottom="0.75" header="0.3" footer="0.3"/>
  <pageSetup orientation="landscape" scale="6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Bo Jin</dc:creator>
  <dcterms:created xmlns:dcterms="http://purl.org/dc/terms/" xmlns:xsi="http://www.w3.org/2001/XMLSchema-instance" xsi:type="dcterms:W3CDTF">2022-02-14T18:13:33Z</dcterms:created>
  <dcterms:modified xmlns:dcterms="http://purl.org/dc/terms/" xmlns:xsi="http://www.w3.org/2001/XMLSchema-instance" xsi:type="dcterms:W3CDTF">2026-02-27T21:08:26Z</dcterms:modified>
  <cp:lastModifiedBy>Alex Olendorff</cp:lastModifiedBy>
</cp:coreProperties>
</file>